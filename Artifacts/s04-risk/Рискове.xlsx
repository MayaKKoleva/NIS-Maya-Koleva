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училище\NIS\NIS-Maya-Koleva\Artifacts\s04-risk\"/>
    </mc:Choice>
  </mc:AlternateContent>
  <xr:revisionPtr revIDLastSave="0" documentId="13_ncr:1_{660E98FC-BF8A-4513-9718-48C2BC3CA8F6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  <sheet name="ATT&amp;CK обосновка" sheetId="6" r:id="rId6"/>
    <sheet name="Heat M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8" l="1" a="1"/>
  <c r="F16" i="8" s="1"/>
  <c r="E16" i="8" a="1"/>
  <c r="E16" i="8" s="1"/>
  <c r="D16" i="8" a="1"/>
  <c r="D16" i="8" s="1"/>
  <c r="C16" i="8" a="1"/>
  <c r="C16" i="8" s="1"/>
  <c r="B16" i="8" a="1"/>
  <c r="B16" i="8" s="1"/>
  <c r="F15" i="8" a="1"/>
  <c r="F15" i="8" s="1"/>
  <c r="E15" i="8" a="1"/>
  <c r="E15" i="8" s="1"/>
  <c r="D15" i="8" a="1"/>
  <c r="D15" i="8" s="1"/>
  <c r="C15" i="8" a="1"/>
  <c r="C15" i="8" s="1"/>
  <c r="B15" i="8" a="1"/>
  <c r="B15" i="8" s="1"/>
  <c r="F14" i="8" a="1"/>
  <c r="F14" i="8" s="1"/>
  <c r="E14" i="8" a="1"/>
  <c r="E14" i="8" s="1"/>
  <c r="D14" i="8" a="1"/>
  <c r="D14" i="8" s="1"/>
  <c r="C14" i="8" a="1"/>
  <c r="C14" i="8" s="1"/>
  <c r="B14" i="8" a="1"/>
  <c r="B14" i="8" s="1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F7" i="8" a="1"/>
  <c r="F7" i="8" s="1"/>
  <c r="E7" i="8" a="1"/>
  <c r="E7" i="8" s="1"/>
  <c r="D7" i="8" a="1"/>
  <c r="D7" i="8" s="1"/>
  <c r="C7" i="8" a="1"/>
  <c r="C7" i="8" s="1"/>
  <c r="B7" i="8" a="1"/>
  <c r="B7" i="8" s="1"/>
  <c r="F6" i="8" a="1"/>
  <c r="F6" i="8" s="1"/>
  <c r="E6" i="8" a="1"/>
  <c r="E6" i="8" s="1"/>
  <c r="D6" i="8" a="1"/>
  <c r="D6" i="8" s="1"/>
  <c r="C6" i="8" a="1"/>
  <c r="C6" i="8" s="1"/>
  <c r="B6" i="8" a="1"/>
  <c r="B6" i="8" s="1"/>
  <c r="F5" i="8" a="1"/>
  <c r="F5" i="8" s="1"/>
  <c r="E5" i="8" a="1"/>
  <c r="E5" i="8" s="1"/>
  <c r="D5" i="8" a="1"/>
  <c r="D5" i="8" s="1"/>
  <c r="C5" i="8" a="1"/>
  <c r="C5" i="8" s="1"/>
  <c r="B5" i="8" a="1"/>
  <c r="B5" i="8" s="1"/>
  <c r="F4" i="8" a="1"/>
  <c r="F4" i="8" s="1"/>
  <c r="E4" i="8" a="1"/>
  <c r="E4" i="8" s="1"/>
  <c r="D4" i="8" a="1"/>
  <c r="D4" i="8" s="1"/>
  <c r="C4" i="8" a="1"/>
  <c r="C4" i="8" s="1"/>
  <c r="B4" i="8" a="1"/>
  <c r="B4" i="8" s="1"/>
  <c r="F3" i="8" a="1"/>
  <c r="F3" i="8" s="1"/>
  <c r="E3" i="8" a="1"/>
  <c r="E3" i="8" s="1"/>
  <c r="D3" i="8" a="1"/>
  <c r="D3" i="8" s="1"/>
  <c r="C3" i="8" a="1"/>
  <c r="C3" i="8" s="1"/>
  <c r="B3" i="8" a="1"/>
  <c r="B3" i="8" s="1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D13" i="5"/>
  <c r="N12" i="5"/>
  <c r="D12" i="5"/>
  <c r="N11" i="5"/>
  <c r="D11" i="5"/>
  <c r="N10" i="5"/>
  <c r="D10" i="5"/>
  <c r="N9" i="5"/>
  <c r="D9" i="5"/>
  <c r="N8" i="5"/>
  <c r="D8" i="5"/>
  <c r="N7" i="5"/>
  <c r="D7" i="5"/>
  <c r="N6" i="5"/>
  <c r="D6" i="5"/>
  <c r="N5" i="5"/>
  <c r="D5" i="5"/>
  <c r="N4" i="5"/>
  <c r="D4" i="5"/>
  <c r="N3" i="5"/>
  <c r="D3" i="5"/>
  <c r="N2" i="5"/>
  <c r="D2" i="5"/>
  <c r="R210" i="4"/>
  <c r="I210" i="4"/>
  <c r="R209" i="4"/>
  <c r="I209" i="4"/>
  <c r="R208" i="4"/>
  <c r="I208" i="4"/>
  <c r="R207" i="4"/>
  <c r="I207" i="4"/>
  <c r="R206" i="4"/>
  <c r="I206" i="4"/>
  <c r="R205" i="4"/>
  <c r="I205" i="4"/>
  <c r="R204" i="4"/>
  <c r="I204" i="4"/>
  <c r="R203" i="4"/>
  <c r="I203" i="4"/>
  <c r="R202" i="4"/>
  <c r="I202" i="4"/>
  <c r="R201" i="4"/>
  <c r="I201" i="4"/>
  <c r="R200" i="4"/>
  <c r="I200" i="4"/>
  <c r="R199" i="4"/>
  <c r="I199" i="4"/>
  <c r="R198" i="4"/>
  <c r="I198" i="4"/>
  <c r="R197" i="4"/>
  <c r="I197" i="4"/>
  <c r="R196" i="4"/>
  <c r="I196" i="4"/>
  <c r="R195" i="4"/>
  <c r="I195" i="4"/>
  <c r="R194" i="4"/>
  <c r="I194" i="4"/>
  <c r="R193" i="4"/>
  <c r="I193" i="4"/>
  <c r="R192" i="4"/>
  <c r="I192" i="4"/>
  <c r="R191" i="4"/>
  <c r="I191" i="4"/>
  <c r="R190" i="4"/>
  <c r="I190" i="4"/>
  <c r="R189" i="4"/>
  <c r="I189" i="4"/>
  <c r="R188" i="4"/>
  <c r="I188" i="4"/>
  <c r="R187" i="4"/>
  <c r="I187" i="4"/>
  <c r="R186" i="4"/>
  <c r="I186" i="4"/>
  <c r="R185" i="4"/>
  <c r="I185" i="4"/>
  <c r="R184" i="4"/>
  <c r="I184" i="4"/>
  <c r="R183" i="4"/>
  <c r="I183" i="4"/>
  <c r="R182" i="4"/>
  <c r="I182" i="4"/>
  <c r="R181" i="4"/>
  <c r="I181" i="4"/>
  <c r="R180" i="4"/>
  <c r="I180" i="4"/>
  <c r="R179" i="4"/>
  <c r="I179" i="4"/>
  <c r="R178" i="4"/>
  <c r="I178" i="4"/>
  <c r="R177" i="4"/>
  <c r="I177" i="4"/>
  <c r="R176" i="4"/>
  <c r="I176" i="4"/>
  <c r="R175" i="4"/>
  <c r="I175" i="4"/>
  <c r="R174" i="4"/>
  <c r="I174" i="4"/>
  <c r="R173" i="4"/>
  <c r="I173" i="4"/>
  <c r="R172" i="4"/>
  <c r="I172" i="4"/>
  <c r="R171" i="4"/>
  <c r="I171" i="4"/>
  <c r="R170" i="4"/>
  <c r="I170" i="4"/>
  <c r="R169" i="4"/>
  <c r="I169" i="4"/>
  <c r="R168" i="4"/>
  <c r="I168" i="4"/>
  <c r="R167" i="4"/>
  <c r="I167" i="4"/>
  <c r="R166" i="4"/>
  <c r="I166" i="4"/>
  <c r="R165" i="4"/>
  <c r="I165" i="4"/>
  <c r="R164" i="4"/>
  <c r="I164" i="4"/>
  <c r="R163" i="4"/>
  <c r="I163" i="4"/>
  <c r="R162" i="4"/>
  <c r="I162" i="4"/>
  <c r="R161" i="4"/>
  <c r="I161" i="4"/>
  <c r="R160" i="4"/>
  <c r="I160" i="4"/>
  <c r="R159" i="4"/>
  <c r="I159" i="4"/>
  <c r="R158" i="4"/>
  <c r="I158" i="4"/>
  <c r="R157" i="4"/>
  <c r="I157" i="4"/>
  <c r="R156" i="4"/>
  <c r="I156" i="4"/>
  <c r="R155" i="4"/>
  <c r="I155" i="4"/>
  <c r="R154" i="4"/>
  <c r="I154" i="4"/>
  <c r="R153" i="4"/>
  <c r="I153" i="4"/>
  <c r="R152" i="4"/>
  <c r="I152" i="4"/>
  <c r="R151" i="4"/>
  <c r="I151" i="4"/>
  <c r="R150" i="4"/>
  <c r="I150" i="4"/>
  <c r="R149" i="4"/>
  <c r="I149" i="4"/>
  <c r="R148" i="4"/>
  <c r="I148" i="4"/>
  <c r="R147" i="4"/>
  <c r="I147" i="4"/>
  <c r="R146" i="4"/>
  <c r="I146" i="4"/>
  <c r="R145" i="4"/>
  <c r="I145" i="4"/>
  <c r="R144" i="4"/>
  <c r="I144" i="4"/>
  <c r="R143" i="4"/>
  <c r="I143" i="4"/>
  <c r="R142" i="4"/>
  <c r="I142" i="4"/>
  <c r="R141" i="4"/>
  <c r="I141" i="4"/>
  <c r="R140" i="4"/>
  <c r="I140" i="4"/>
  <c r="R139" i="4"/>
  <c r="I139" i="4"/>
  <c r="R138" i="4"/>
  <c r="I138" i="4"/>
  <c r="R137" i="4"/>
  <c r="I137" i="4"/>
  <c r="R136" i="4"/>
  <c r="I136" i="4"/>
  <c r="R135" i="4"/>
  <c r="I135" i="4"/>
  <c r="R134" i="4"/>
  <c r="I134" i="4"/>
  <c r="R133" i="4"/>
  <c r="I133" i="4"/>
  <c r="R132" i="4"/>
  <c r="I132" i="4"/>
  <c r="R131" i="4"/>
  <c r="I131" i="4"/>
  <c r="R130" i="4"/>
  <c r="I130" i="4"/>
  <c r="R129" i="4"/>
  <c r="K129" i="4"/>
  <c r="J129" i="4"/>
  <c r="I129" i="4"/>
  <c r="R128" i="4"/>
  <c r="I128" i="4"/>
  <c r="R127" i="4"/>
  <c r="I127" i="4"/>
  <c r="R126" i="4"/>
  <c r="I126" i="4"/>
  <c r="R125" i="4"/>
  <c r="I125" i="4"/>
  <c r="R124" i="4"/>
  <c r="I124" i="4"/>
  <c r="R123" i="4"/>
  <c r="I123" i="4"/>
  <c r="R122" i="4"/>
  <c r="I122" i="4"/>
  <c r="R121" i="4"/>
  <c r="I121" i="4"/>
  <c r="R120" i="4"/>
  <c r="I120" i="4"/>
  <c r="R119" i="4"/>
  <c r="I119" i="4"/>
  <c r="R118" i="4"/>
  <c r="I118" i="4"/>
  <c r="R117" i="4"/>
  <c r="I117" i="4"/>
  <c r="R116" i="4"/>
  <c r="I116" i="4"/>
  <c r="R115" i="4"/>
  <c r="I115" i="4"/>
  <c r="R114" i="4"/>
  <c r="I114" i="4"/>
  <c r="R113" i="4"/>
  <c r="I113" i="4"/>
  <c r="R112" i="4"/>
  <c r="I112" i="4"/>
  <c r="R111" i="4"/>
  <c r="I111" i="4"/>
  <c r="R110" i="4"/>
  <c r="I110" i="4"/>
  <c r="R109" i="4"/>
  <c r="I109" i="4"/>
  <c r="R108" i="4"/>
  <c r="I108" i="4"/>
  <c r="R107" i="4"/>
  <c r="I107" i="4"/>
  <c r="R106" i="4"/>
  <c r="I106" i="4"/>
  <c r="R105" i="4"/>
  <c r="I105" i="4"/>
  <c r="R104" i="4"/>
  <c r="I104" i="4"/>
  <c r="R103" i="4"/>
  <c r="I103" i="4"/>
  <c r="R102" i="4"/>
  <c r="I102" i="4"/>
  <c r="R101" i="4"/>
  <c r="I101" i="4"/>
  <c r="R100" i="4"/>
  <c r="I100" i="4"/>
  <c r="R99" i="4"/>
  <c r="I99" i="4"/>
  <c r="R98" i="4"/>
  <c r="I98" i="4"/>
  <c r="R97" i="4"/>
  <c r="I97" i="4"/>
  <c r="R96" i="4"/>
  <c r="I96" i="4"/>
  <c r="R95" i="4"/>
  <c r="I95" i="4"/>
  <c r="R94" i="4"/>
  <c r="I94" i="4"/>
  <c r="R93" i="4"/>
  <c r="I93" i="4"/>
  <c r="R92" i="4"/>
  <c r="I92" i="4"/>
  <c r="R91" i="4"/>
  <c r="I91" i="4"/>
  <c r="R90" i="4"/>
  <c r="I90" i="4"/>
  <c r="R89" i="4"/>
  <c r="I89" i="4"/>
  <c r="R88" i="4"/>
  <c r="I88" i="4"/>
  <c r="R87" i="4"/>
  <c r="I87" i="4"/>
  <c r="R86" i="4"/>
  <c r="I86" i="4"/>
  <c r="R85" i="4"/>
  <c r="I85" i="4"/>
  <c r="R84" i="4"/>
  <c r="I84" i="4"/>
  <c r="R83" i="4"/>
  <c r="I83" i="4"/>
  <c r="R82" i="4"/>
  <c r="I82" i="4"/>
  <c r="R81" i="4"/>
  <c r="I81" i="4"/>
  <c r="R80" i="4"/>
  <c r="I80" i="4"/>
  <c r="R79" i="4"/>
  <c r="I79" i="4"/>
  <c r="R78" i="4"/>
  <c r="I78" i="4"/>
  <c r="R77" i="4"/>
  <c r="I77" i="4"/>
  <c r="R76" i="4"/>
  <c r="I76" i="4"/>
  <c r="R75" i="4"/>
  <c r="I75" i="4"/>
  <c r="R74" i="4"/>
  <c r="I74" i="4"/>
  <c r="R73" i="4"/>
  <c r="I73" i="4"/>
  <c r="R72" i="4"/>
  <c r="I72" i="4"/>
  <c r="R71" i="4"/>
  <c r="I71" i="4"/>
  <c r="R70" i="4"/>
  <c r="I70" i="4"/>
  <c r="R69" i="4"/>
  <c r="I69" i="4"/>
  <c r="R68" i="4"/>
  <c r="I68" i="4"/>
  <c r="R67" i="4"/>
  <c r="I67" i="4"/>
  <c r="R66" i="4"/>
  <c r="I66" i="4"/>
  <c r="R65" i="4"/>
  <c r="I65" i="4"/>
  <c r="R64" i="4"/>
  <c r="I64" i="4"/>
  <c r="R63" i="4"/>
  <c r="I63" i="4"/>
  <c r="R62" i="4"/>
  <c r="I62" i="4"/>
  <c r="R61" i="4"/>
  <c r="I61" i="4"/>
  <c r="R60" i="4"/>
  <c r="I60" i="4"/>
  <c r="R59" i="4"/>
  <c r="I59" i="4"/>
  <c r="R58" i="4"/>
  <c r="I58" i="4"/>
  <c r="R57" i="4"/>
  <c r="I57" i="4"/>
  <c r="R56" i="4"/>
  <c r="I56" i="4"/>
  <c r="R55" i="4"/>
  <c r="I55" i="4"/>
  <c r="R54" i="4"/>
  <c r="I54" i="4"/>
  <c r="R53" i="4"/>
  <c r="I53" i="4"/>
  <c r="R52" i="4"/>
  <c r="I52" i="4"/>
  <c r="R51" i="4"/>
  <c r="I51" i="4"/>
  <c r="R50" i="4"/>
  <c r="I50" i="4"/>
  <c r="R49" i="4"/>
  <c r="I49" i="4"/>
  <c r="R48" i="4"/>
  <c r="I48" i="4"/>
  <c r="R47" i="4"/>
  <c r="I47" i="4"/>
  <c r="R46" i="4"/>
  <c r="I46" i="4"/>
  <c r="R45" i="4"/>
  <c r="I45" i="4"/>
  <c r="R44" i="4"/>
  <c r="I44" i="4"/>
  <c r="R43" i="4"/>
  <c r="I43" i="4"/>
  <c r="R42" i="4"/>
  <c r="I42" i="4"/>
  <c r="R41" i="4"/>
  <c r="I41" i="4"/>
  <c r="R40" i="4"/>
  <c r="I40" i="4"/>
  <c r="R39" i="4"/>
  <c r="I39" i="4"/>
  <c r="R38" i="4"/>
  <c r="I38" i="4"/>
  <c r="R37" i="4"/>
  <c r="I37" i="4"/>
  <c r="R36" i="4"/>
  <c r="I36" i="4"/>
  <c r="R35" i="4"/>
  <c r="I35" i="4"/>
  <c r="R34" i="4"/>
  <c r="I34" i="4"/>
  <c r="R33" i="4"/>
  <c r="I33" i="4"/>
  <c r="R32" i="4"/>
  <c r="I32" i="4"/>
  <c r="R31" i="4"/>
  <c r="I31" i="4"/>
  <c r="R30" i="4"/>
  <c r="I30" i="4"/>
  <c r="R29" i="4"/>
  <c r="I29" i="4"/>
  <c r="R28" i="4"/>
  <c r="I28" i="4"/>
  <c r="R27" i="4"/>
  <c r="I27" i="4"/>
  <c r="R26" i="4"/>
  <c r="I26" i="4"/>
  <c r="R25" i="4"/>
  <c r="I25" i="4"/>
  <c r="R24" i="4"/>
  <c r="I24" i="4"/>
  <c r="R23" i="4"/>
  <c r="I23" i="4"/>
  <c r="R22" i="4"/>
  <c r="K22" i="4"/>
  <c r="J22" i="4"/>
  <c r="I22" i="4"/>
  <c r="R21" i="4"/>
  <c r="I21" i="4"/>
  <c r="R20" i="4"/>
  <c r="I20" i="4"/>
  <c r="R19" i="4"/>
  <c r="I19" i="4"/>
  <c r="R18" i="4"/>
  <c r="I18" i="4"/>
  <c r="R17" i="4"/>
  <c r="I17" i="4"/>
  <c r="R16" i="4"/>
  <c r="I16" i="4"/>
  <c r="R15" i="4"/>
  <c r="I15" i="4"/>
  <c r="R14" i="4"/>
  <c r="I14" i="4"/>
  <c r="R13" i="4"/>
  <c r="I13" i="4"/>
  <c r="R12" i="4"/>
  <c r="I12" i="4"/>
  <c r="R11" i="4"/>
  <c r="I11" i="4"/>
  <c r="R10" i="4"/>
  <c r="I10" i="4"/>
  <c r="R9" i="4"/>
  <c r="I9" i="4"/>
  <c r="R8" i="4"/>
  <c r="I8" i="4"/>
  <c r="R7" i="4"/>
  <c r="I7" i="4"/>
  <c r="R6" i="4"/>
  <c r="I6" i="4"/>
  <c r="R5" i="4"/>
  <c r="I5" i="4"/>
  <c r="R4" i="4"/>
  <c r="I4" i="4"/>
  <c r="R3" i="4"/>
  <c r="I3" i="4"/>
  <c r="R2" i="4"/>
  <c r="I2" i="4"/>
  <c r="K210" i="4" l="1"/>
  <c r="J210" i="4"/>
  <c r="K209" i="4"/>
  <c r="J209" i="4"/>
  <c r="J208" i="4"/>
  <c r="K208" i="4"/>
  <c r="J207" i="4"/>
  <c r="K207" i="4"/>
  <c r="J206" i="4"/>
  <c r="K206" i="4"/>
  <c r="J205" i="4"/>
  <c r="K205" i="4"/>
  <c r="J204" i="4"/>
  <c r="K204" i="4"/>
  <c r="J203" i="4"/>
  <c r="K203" i="4"/>
  <c r="J202" i="4"/>
  <c r="K202" i="4"/>
  <c r="K201" i="4"/>
  <c r="J201" i="4"/>
  <c r="J200" i="4"/>
  <c r="K200" i="4"/>
  <c r="K199" i="4"/>
  <c r="J199" i="4"/>
  <c r="J198" i="4"/>
  <c r="K198" i="4"/>
  <c r="J197" i="4"/>
  <c r="K197" i="4"/>
  <c r="K196" i="4"/>
  <c r="J196" i="4"/>
  <c r="K195" i="4"/>
  <c r="J195" i="4"/>
  <c r="K194" i="4"/>
  <c r="J194" i="4"/>
  <c r="J193" i="4"/>
  <c r="K193" i="4"/>
  <c r="K192" i="4"/>
  <c r="J192" i="4"/>
  <c r="J191" i="4"/>
  <c r="K191" i="4"/>
  <c r="K190" i="4"/>
  <c r="J190" i="4"/>
  <c r="K189" i="4"/>
  <c r="J189" i="4"/>
  <c r="K188" i="4"/>
  <c r="J188" i="4"/>
  <c r="J187" i="4"/>
  <c r="K187" i="4"/>
  <c r="K186" i="4"/>
  <c r="J186" i="4"/>
  <c r="K185" i="4"/>
  <c r="J185" i="4"/>
  <c r="J184" i="4"/>
  <c r="K184" i="4"/>
  <c r="K183" i="4"/>
  <c r="J183" i="4"/>
  <c r="K182" i="4"/>
  <c r="J182" i="4"/>
  <c r="J181" i="4"/>
  <c r="K181" i="4"/>
  <c r="K180" i="4"/>
  <c r="J180" i="4"/>
  <c r="K179" i="4"/>
  <c r="J179" i="4"/>
  <c r="J178" i="4"/>
  <c r="K178" i="4"/>
  <c r="K177" i="4"/>
  <c r="J177" i="4"/>
  <c r="K176" i="4"/>
  <c r="J176" i="4"/>
  <c r="J175" i="4"/>
  <c r="K175" i="4"/>
  <c r="K174" i="4"/>
  <c r="J174" i="4"/>
  <c r="J173" i="4"/>
  <c r="K173" i="4"/>
  <c r="J172" i="4"/>
  <c r="K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J164" i="4"/>
  <c r="K164" i="4"/>
  <c r="J163" i="4"/>
  <c r="K163" i="4"/>
  <c r="J162" i="4"/>
  <c r="K162" i="4"/>
  <c r="J161" i="4"/>
  <c r="K161" i="4"/>
  <c r="J160" i="4"/>
  <c r="K160" i="4"/>
  <c r="J159" i="4"/>
  <c r="K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J151" i="4"/>
  <c r="K151" i="4"/>
  <c r="K150" i="4"/>
  <c r="J150" i="4"/>
  <c r="J149" i="4"/>
  <c r="K149" i="4"/>
  <c r="K148" i="4"/>
  <c r="J148" i="4"/>
  <c r="J147" i="4"/>
  <c r="K147" i="4"/>
  <c r="J146" i="4"/>
  <c r="K146" i="4"/>
  <c r="J145" i="4"/>
  <c r="K145" i="4"/>
  <c r="J144" i="4"/>
  <c r="K144" i="4"/>
  <c r="J143" i="4"/>
  <c r="K143" i="4"/>
  <c r="K142" i="4"/>
  <c r="J142" i="4"/>
  <c r="K141" i="4"/>
  <c r="J141" i="4"/>
  <c r="J140" i="4"/>
  <c r="K140" i="4"/>
  <c r="J139" i="4"/>
  <c r="K139" i="4"/>
  <c r="J138" i="4"/>
  <c r="K138" i="4"/>
  <c r="K137" i="4"/>
  <c r="J137" i="4"/>
  <c r="J136" i="4"/>
  <c r="K136" i="4"/>
  <c r="K135" i="4"/>
  <c r="J135" i="4"/>
  <c r="K134" i="4"/>
  <c r="J134" i="4"/>
  <c r="K133" i="4"/>
  <c r="J133" i="4"/>
  <c r="K132" i="4"/>
  <c r="J132" i="4"/>
  <c r="J131" i="4"/>
  <c r="K131" i="4"/>
  <c r="J130" i="4"/>
  <c r="K130" i="4"/>
  <c r="J128" i="4"/>
  <c r="K128" i="4"/>
  <c r="K127" i="4"/>
  <c r="J127" i="4"/>
  <c r="K126" i="4"/>
  <c r="J126" i="4"/>
  <c r="K125" i="4"/>
  <c r="J125" i="4"/>
  <c r="J124" i="4"/>
  <c r="K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J114" i="4"/>
  <c r="K114" i="4"/>
  <c r="J113" i="4"/>
  <c r="K113" i="4"/>
  <c r="J112" i="4"/>
  <c r="K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J101" i="4"/>
  <c r="K101" i="4"/>
  <c r="K100" i="4"/>
  <c r="J100" i="4"/>
  <c r="J99" i="4"/>
  <c r="K99" i="4"/>
  <c r="K98" i="4"/>
  <c r="J98" i="4"/>
  <c r="K97" i="4"/>
  <c r="J97" i="4"/>
  <c r="J96" i="4"/>
  <c r="K96" i="4"/>
  <c r="J95" i="4"/>
  <c r="K95" i="4"/>
  <c r="J94" i="4"/>
  <c r="K94" i="4"/>
  <c r="K93" i="4"/>
  <c r="J93" i="4"/>
  <c r="K92" i="4"/>
  <c r="J92" i="4"/>
  <c r="K91" i="4"/>
  <c r="J91" i="4"/>
  <c r="J90" i="4"/>
  <c r="K90" i="4"/>
  <c r="K89" i="4"/>
  <c r="J89" i="4"/>
  <c r="K88" i="4"/>
  <c r="J88" i="4"/>
  <c r="K87" i="4"/>
  <c r="J87" i="4"/>
  <c r="K86" i="4"/>
  <c r="J86" i="4"/>
  <c r="J85" i="4"/>
  <c r="K85" i="4"/>
  <c r="K84" i="4"/>
  <c r="J84" i="4"/>
  <c r="J83" i="4"/>
  <c r="K83" i="4"/>
  <c r="J82" i="4"/>
  <c r="K82" i="4"/>
  <c r="K81" i="4"/>
  <c r="J81" i="4"/>
  <c r="J80" i="4"/>
  <c r="K80" i="4"/>
  <c r="K79" i="4"/>
  <c r="J79" i="4"/>
  <c r="J78" i="4"/>
  <c r="K78" i="4"/>
  <c r="J77" i="4"/>
  <c r="K77" i="4"/>
  <c r="K76" i="4"/>
  <c r="J76" i="4"/>
  <c r="K75" i="4"/>
  <c r="J75" i="4"/>
  <c r="J74" i="4"/>
  <c r="K74" i="4"/>
  <c r="J73" i="4"/>
  <c r="K73" i="4"/>
  <c r="J72" i="4"/>
  <c r="K72" i="4"/>
  <c r="J71" i="4"/>
  <c r="K71" i="4"/>
  <c r="J70" i="4"/>
  <c r="K70" i="4"/>
  <c r="J69" i="4"/>
  <c r="K69" i="4"/>
  <c r="J68" i="4"/>
  <c r="K68" i="4"/>
  <c r="J67" i="4"/>
  <c r="K67" i="4"/>
  <c r="J66" i="4"/>
  <c r="K66" i="4"/>
  <c r="K65" i="4"/>
  <c r="J65" i="4"/>
  <c r="K64" i="4"/>
  <c r="J64" i="4"/>
  <c r="K63" i="4"/>
  <c r="J63" i="4"/>
  <c r="K62" i="4"/>
  <c r="J62" i="4"/>
  <c r="J61" i="4"/>
  <c r="K61" i="4"/>
  <c r="K60" i="4"/>
  <c r="J60" i="4"/>
  <c r="K59" i="4"/>
  <c r="J59" i="4"/>
  <c r="K58" i="4"/>
  <c r="J58" i="4"/>
  <c r="K57" i="4"/>
  <c r="J57" i="4"/>
  <c r="K56" i="4"/>
  <c r="J56" i="4"/>
  <c r="K55" i="4"/>
  <c r="J55" i="4"/>
  <c r="J54" i="4"/>
  <c r="K54" i="4"/>
  <c r="J53" i="4"/>
  <c r="K53" i="4"/>
  <c r="J52" i="4"/>
  <c r="K52" i="4"/>
  <c r="K51" i="4"/>
  <c r="J51" i="4"/>
  <c r="K50" i="4"/>
  <c r="J50" i="4"/>
  <c r="J49" i="4"/>
  <c r="K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J41" i="4"/>
  <c r="K41" i="4"/>
  <c r="J40" i="4"/>
  <c r="K40" i="4"/>
  <c r="K39" i="4"/>
  <c r="J39" i="4"/>
  <c r="J38" i="4"/>
  <c r="K38" i="4"/>
  <c r="J37" i="4"/>
  <c r="K37" i="4"/>
  <c r="J36" i="4"/>
  <c r="K36" i="4"/>
  <c r="J35" i="4"/>
  <c r="K35" i="4"/>
  <c r="J34" i="4"/>
  <c r="K34" i="4"/>
  <c r="J33" i="4"/>
  <c r="K33" i="4"/>
  <c r="J32" i="4"/>
  <c r="K32" i="4"/>
  <c r="J31" i="4"/>
  <c r="K31" i="4"/>
  <c r="J30" i="4"/>
  <c r="K30" i="4"/>
  <c r="J29" i="4"/>
  <c r="K29" i="4"/>
  <c r="J28" i="4"/>
  <c r="K28" i="4"/>
  <c r="K27" i="4"/>
  <c r="J27" i="4"/>
  <c r="K26" i="4"/>
  <c r="J26" i="4"/>
  <c r="K25" i="4"/>
  <c r="J25" i="4"/>
  <c r="K24" i="4"/>
  <c r="J24" i="4"/>
  <c r="K23" i="4"/>
  <c r="J23" i="4"/>
  <c r="K21" i="4"/>
  <c r="J21" i="4"/>
  <c r="J20" i="4"/>
  <c r="K20" i="4"/>
  <c r="J19" i="4"/>
  <c r="K19" i="4"/>
  <c r="J18" i="4"/>
  <c r="K18" i="4"/>
  <c r="J17" i="4"/>
  <c r="K17" i="4"/>
  <c r="J16" i="4"/>
  <c r="K16" i="4"/>
  <c r="J15" i="4"/>
  <c r="K15" i="4"/>
  <c r="K14" i="4"/>
  <c r="J14" i="4"/>
  <c r="K13" i="4"/>
  <c r="J13" i="4"/>
  <c r="K12" i="4"/>
  <c r="J12" i="4"/>
  <c r="K11" i="4"/>
  <c r="J11" i="4"/>
  <c r="K10" i="4"/>
  <c r="J10" i="4"/>
  <c r="K9" i="4"/>
  <c r="J9" i="4"/>
  <c r="J8" i="4"/>
  <c r="K8" i="4"/>
  <c r="K7" i="4"/>
  <c r="J7" i="4"/>
  <c r="J6" i="4"/>
  <c r="K6" i="4"/>
  <c r="J5" i="4"/>
  <c r="K5" i="4"/>
  <c r="J4" i="4"/>
  <c r="K4" i="4"/>
  <c r="J3" i="4"/>
  <c r="K3" i="4"/>
  <c r="J2" i="4"/>
  <c r="K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pkirkov:
Probability / Вероятност</t>
        </r>
      </text>
    </comment>
    <comment ref="H1" authorId="0" shapeId="0" xr:uid="{00000000-0006-0000-0300-000002000000}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<sst xmlns="http://schemas.openxmlformats.org/spreadsheetml/2006/main" count="627" uniqueCount="446">
  <si>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</si>
  <si>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</si>
  <si>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</si>
  <si>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</si>
  <si>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</si>
  <si>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</si>
  <si>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</si>
  <si>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</si>
  <si>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</si>
  <si>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</si>
  <si>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</si>
  <si>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</si>
  <si>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</si>
  <si>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</si>
  <si>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</si>
  <si>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</si>
  <si>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</si>
  <si>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</si>
  <si>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</si>
  <si>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</si>
  <si>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</si>
  <si>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</si>
  <si>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</si>
  <si>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</si>
  <si>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</si>
  <si>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</si>
  <si>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</si>
  <si>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</si>
  <si>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</si>
  <si>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</si>
  <si>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</si>
  <si>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</si>
  <si>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</si>
  <si>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</si>
  <si>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</si>
  <si>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</si>
  <si>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</si>
  <si>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</si>
  <si>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</si>
  <si>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</si>
  <si>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</si>
  <si>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</si>
  <si>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</si>
  <si>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</si>
  <si>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</si>
  <si>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</si>
  <si>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</si>
  <si>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</si>
  <si>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</si>
  <si>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</si>
  <si>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</si>
  <si>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</si>
  <si>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</si>
  <si>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</si>
  <si>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</si>
  <si>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</si>
  <si>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</si>
  <si>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</si>
  <si>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</si>
  <si>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</si>
  <si>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</si>
  <si>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</si>
  <si>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</si>
  <si>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</si>
  <si>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</si>
  <si>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</si>
  <si>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</si>
  <si>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</si>
  <si>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</si>
  <si>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</si>
  <si>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</si>
  <si>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</si>
  <si>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</si>
  <si>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</si>
  <si>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</si>
  <si>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</si>
  <si>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</si>
  <si>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</si>
  <si>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</si>
  <si>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</si>
  <si>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</si>
  <si>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</si>
  <si>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</si>
  <si>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</si>
  <si>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</si>
  <si>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</si>
  <si>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</si>
  <si>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</si>
  <si>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</si>
  <si>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</si>
  <si>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</si>
  <si>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</si>
  <si>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</si>
  <si>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</si>
  <si>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</si>
  <si>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</si>
  <si>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Reverse Proxy (Nginx, 443) + Firewall</t>
  </si>
  <si>
    <t>софтуер</t>
  </si>
  <si>
    <t>Ръководител ИТ</t>
  </si>
  <si>
    <t>Системен администратор</t>
  </si>
  <si>
    <t>поверителна</t>
  </si>
  <si>
    <t>София HQ, 10.170.0.1 / 10.170.0.10</t>
  </si>
  <si>
    <t>A-02, A-08</t>
  </si>
  <si>
    <t>Единствена входна точка към DC; през него минава целият трафик на агентите (заместител C7)</t>
  </si>
  <si>
    <t>A-02</t>
  </si>
  <si>
    <t>Мрежова инфраструктура и сегментация (LAN-HQ, Бургас, DC)</t>
  </si>
  <si>
    <t>мрежа</t>
  </si>
  <si>
    <t>вътрешна</t>
  </si>
  <si>
    <t>София 10.170.0.0/24, Бургас 10.171.0.0/24, В. Търново 10.172.0.0/24</t>
  </si>
  <si>
    <t>—</t>
  </si>
  <si>
    <t>Носи 5-те правила за филтриране от упр. 9</t>
  </si>
  <si>
    <t>A-03</t>
  </si>
  <si>
    <t>Policy Backend (порт 3000)</t>
  </si>
  <si>
    <t>строго поверителна</t>
  </si>
  <si>
    <t>В. Търново DC, 10.172.0.10</t>
  </si>
  <si>
    <t>A-01, A-02, A-04, A-05</t>
  </si>
  <si>
    <t>Обработва полици и лични данни; достъпен само от Reverse Proxy (заместител C1)</t>
  </si>
  <si>
    <t>A-04</t>
  </si>
  <si>
    <t>База данни с полици, лични и финансови данни (порт 5432)</t>
  </si>
  <si>
    <t>информация</t>
  </si>
  <si>
    <t>Директор „Застрахователни продукти“</t>
  </si>
  <si>
    <t>Администратор на бази данни</t>
  </si>
  <si>
    <t>В. Търново DC, 10.172.0.20</t>
  </si>
  <si>
    <t>A-02, A-05, A-11</t>
  </si>
  <si>
    <t>Достъп само локално от Backend, не се форуърдва (заместител C2); най-ценният актив</t>
  </si>
  <si>
    <t>A-05</t>
  </si>
  <si>
    <t>Виртуализационна платформа и сървъри на DC</t>
  </si>
  <si>
    <t>хардуер</t>
  </si>
  <si>
    <t>В. Търново DC, 10.172.0.0/24</t>
  </si>
  <si>
    <t>A-15</t>
  </si>
  <si>
    <t>Хостват A-03 и A-04</t>
  </si>
  <si>
    <t>A-06</t>
  </si>
  <si>
    <t>Агентски терминали (офис Бургас)</t>
  </si>
  <si>
    <t>Ръководител офис Бургас</t>
  </si>
  <si>
    <t>ИТ поддръжка</t>
  </si>
  <si>
    <t>Бургас, 10.171.0.0/24</t>
  </si>
  <si>
    <t>Само 443 към Reverse Proxy; директен достъп до DC е забранен</t>
  </si>
  <si>
    <t>A-07</t>
  </si>
  <si>
    <t>Уеб-базиран фронтенд за агентите</t>
  </si>
  <si>
    <t>услуга</t>
  </si>
  <si>
    <t>Директор „Дигитални продукти“</t>
  </si>
  <si>
    <t>чрез Reverse Proxy, София HQ</t>
  </si>
  <si>
    <t>A-01, A-03, A-08</t>
  </si>
  <si>
    <t>Единственият начин агентите да работят с полиците</t>
  </si>
  <si>
    <t>A-08</t>
  </si>
  <si>
    <t>Идентичност и достъп (роли: застрахователен агент, DC администратор)</t>
  </si>
  <si>
    <t>Специалист по информационна сигурност</t>
  </si>
  <si>
    <t>София HQ</t>
  </si>
  <si>
    <t>A-02, A-05</t>
  </si>
  <si>
    <t>Реализация на H1 (урок 7)</t>
  </si>
  <si>
    <t>A-09</t>
  </si>
  <si>
    <t>Административен SSH достъп HQ → DC</t>
  </si>
  <si>
    <t>HQ мрежа → В. Търново DC (порт 22)</t>
  </si>
  <si>
    <t>A-02, A-05, A-08</t>
  </si>
  <si>
    <t>Правило 5: HQ мрежата може да SSH-ва до DC за поддръжка</t>
  </si>
  <si>
    <t>A-10</t>
  </si>
  <si>
    <t>Дневници и мониторинг (Reverse Proxy, Backend, DB, SSH)</t>
  </si>
  <si>
    <t>София HQ / В. Търново DC</t>
  </si>
  <si>
    <t>A-01, A-03, A-05</t>
  </si>
  <si>
    <t>Обект за наблюдение H4 (уроци 13, 14)</t>
  </si>
  <si>
    <t>A-11</t>
  </si>
  <si>
    <t>Резервни копия на БД и конфигурации</t>
  </si>
  <si>
    <t>В. Търново DC</t>
  </si>
  <si>
    <t>A-04, A-05, A-15</t>
  </si>
  <si>
    <t>Допускане: съхраняват се в същия DC</t>
  </si>
  <si>
    <t>A-12</t>
  </si>
  <si>
    <t>AI асистент за застрахователни въпроси</t>
  </si>
  <si>
    <t>отделно от DC, без достъп до DC</t>
  </si>
  <si>
    <t>A-01, A-02</t>
  </si>
  <si>
    <t>Сценарий H5 (урок 17); без достъп до DC</t>
  </si>
  <si>
    <t>A-13</t>
  </si>
  <si>
    <t>Услуга електронна поща</t>
  </si>
  <si>
    <t>облак / София HQ</t>
  </si>
  <si>
    <t>Допускане — не е описана в сценария</t>
  </si>
  <si>
    <t>A-14</t>
  </si>
  <si>
    <t>Системен администратор и админ. на БД (ключово знание, привилегировани акаунти)</t>
  </si>
  <si>
    <t>хора</t>
  </si>
  <si>
    <t>Управител</t>
  </si>
  <si>
    <t>A-08, A-09</t>
  </si>
  <si>
    <t>Знанието е актив; допускане за една ключова позиция</t>
  </si>
  <si>
    <t>Сървърно помещение / Data Center, В. Търново</t>
  </si>
  <si>
    <t>помещение</t>
  </si>
  <si>
    <t>Фасилити</t>
  </si>
  <si>
    <t>В. Търново</t>
  </si>
  <si>
    <t>Физическа защита на A-05</t>
  </si>
  <si>
    <t>A-16</t>
  </si>
  <si>
    <t>Застрахователни агенти (потребители)</t>
  </si>
  <si>
    <t>Бургас</t>
  </si>
  <si>
    <t>A-06, A-08</t>
  </si>
  <si>
    <t>Целта на фишинг и социално инженерство</t>
  </si>
  <si>
    <t>R-ID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</si>
  <si>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</si>
  <si>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</si>
  <si>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</si>
  <si>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</si>
  <si>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</si>
  <si>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</si>
  <si>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</si>
  <si>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</si>
  <si>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</si>
  <si>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</si>
  <si>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</si>
  <si>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</si>
  <si>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</si>
  <si>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</si>
  <si>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</si>
  <si>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</si>
  <si>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</si>
  <si>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A-06 (агентски терминали)</t>
  </si>
  <si>
    <t>Външен нападател (фишинг кампания): T1566 (Phishing) → T1204 (User Execution) → T1078 (Valid Accounts). ATT&amp;CK: T1566 се използва от 98 APT групи (напр. APT28, APT29, Sandworm Team, FIN7) → P=5</t>
  </si>
  <si>
    <t>Агентите нямат обучение за фишинг, терминалите нямат EDR/филтриране на поща, а влизането е само с парола</t>
  </si>
  <si>
    <t>Фишинг имейл към агент в Бургас води до изпълнение на зловреден файл и кражба на агентски акаунт, с който нападателят чете полици и лични данни на клиентите.</t>
  </si>
  <si>
    <t>Филтриране по упр. 9 (само 443 към Reverse Proxy); стандартен антивирус</t>
  </si>
  <si>
    <t>намаляване</t>
  </si>
  <si>
    <t>Обосновка: лист „ATT&amp;CK обосновка“, T1566; въздействие: L1 – краен потребител; ролята ограничава данните до портфолиото на агента</t>
  </si>
  <si>
    <t>R-02</t>
  </si>
  <si>
    <t>A-08 (идентичност и достъп)</t>
  </si>
  <si>
    <t>Външен нападател (откраднати или налучкани пароли): T1078 (Valid Accounts). ATT&amp;CK: T1078 се използва от 66 APT групи (напр. APT28, APT29, Sandworm Team, FIN7) → P=5</t>
  </si>
  <si>
    <t>Агентските и администраторските акаунти се удостоверяват само с парола, без втори фактор и без заключване при многократни грешки</t>
  </si>
  <si>
    <t>Нападател влиза с валиден откраднат или повторно използван агентски/админ акаунт през Reverse Proxy и работи като легитимен потребител, без да бъде засечен.</t>
  </si>
  <si>
    <t>Сложност на паролата; роли „застрахователен агент“ и „DC администратор“ (H1)</t>
  </si>
  <si>
    <t>R-03</t>
  </si>
  <si>
    <t>A-01 (Reverse Proxy)</t>
  </si>
  <si>
    <t>Външен нападател (сканиране за уязвими публични приложения): T1190 (Exploit Public-Facing Application). ATT&amp;CK: T1190 се използва от 46 APT групи (напр. APT28, APT29, Sandworm Team, FIN7) → P=4</t>
  </si>
  <si>
    <t>Reverse Proxy е публично достъпен и няма WAF, а обновяванията на Nginx не са с гарантиран срок</t>
  </si>
  <si>
    <t>Нападател експлоатира уязвимост в Nginx или в конфигурацията му, поема Reverse Proxy и подслушва или променя трафика с лични данни, като плацдарм към DC.</t>
  </si>
  <si>
    <t>Firewall на същия хост; отворен е само порт 443 (упр. 9)</t>
  </si>
  <si>
    <t>R-04</t>
  </si>
  <si>
    <t>A-03 (Policy Backend)</t>
  </si>
  <si>
    <t>Външен нападател (след пробив през приложението): T1190 (Exploit Public-Facing Application) → T1505 (Server Software Component) → T1059 (Command and Scripting Interpreter). ATT&amp;CK: T1505 се използва от 32 APT групи (напр. APT28, APT29, Sandworm Team, Volt Typhoon) → P=3</t>
  </si>
  <si>
    <t>Backend работи с права за запис върху директорията на приложението и няма проверка за цялост на файловете</t>
  </si>
  <si>
    <t>Нападател качва уеб шел в Policy Backend, получава постоянен достъп до сървъра в DC и изпълнява команди, чрез които чете всички полици.</t>
  </si>
  <si>
    <t>Backend е достъпен само от Reverse Proxy (упр. 9)</t>
  </si>
  <si>
    <t>Обосновка: лист „ATT&amp;CK обосновка“, T1505; въздействие: L3 – вътрешността на DC, един хоп до базата данни</t>
  </si>
  <si>
    <t>R-05</t>
  </si>
  <si>
    <t>A-04 (БД с лични данни)</t>
  </si>
  <si>
    <t>Външен нападател или злонамерен вътрешен: T1213 (Data from Information Repositories). ATT&amp;CK: T1213 се използва от 15 APT групи (напр. APT28, Sandworm Team, Scattered Spider, FIN6) → P=2</t>
  </si>
  <si>
    <t>Акаунтът на Backend към базата има права за четене на всички таблици без ограничение и данните са в явен вид</t>
  </si>
  <si>
    <t>Нападател с достъп до Backend изпълнява заявки към базата и извлича полици, имена, ЕГН и банкови данни на клиентите, защото акаунтът няма ограничения, а данните не са криптирани.</t>
  </si>
  <si>
    <t>Базата е достъпна само локално от Backend (упр. 9)</t>
  </si>
  <si>
    <t>Обосновка: лист „ATT&amp;CK обосновка“, T1213; въздействие: L4 – най-вътрешният слой; масово разкриване на лични и финансови данни</t>
  </si>
  <si>
    <t>R-06</t>
  </si>
  <si>
    <t>Външен нападател (изнасяне след компрометиране): T1041 (Exfiltration Over C2 Channel). ATT&amp;CK: T1041 се използва от 27 APT групи (напр. Sandworm Team, Lazarus Group, Scattered Spider, Wizard Spider) → P=3</t>
  </si>
  <si>
    <t>От DC няма ограничение на изходящия трафик и няма наблюдение на обема на изходящите данни</t>
  </si>
  <si>
    <t>След пробив в DC нападател изнася архив с данни на клиентите през C2 канал към интернет, защото сървърите в DC могат свободно да се свързват навън.</t>
  </si>
  <si>
    <t>Правило 3: DB не форуърдва порт 5432 (само локално)</t>
  </si>
  <si>
    <t>Обосновка: лист „ATT&amp;CK обосновка“, T1041; въздействие: L4 – данните напускат организацията; нотификация към надзорен орган и КЗЛД</t>
  </si>
  <si>
    <t>R-07</t>
  </si>
  <si>
    <t>A-09 (SSH HQ→DC)</t>
  </si>
  <si>
    <t>Външен нападател, преминал през HQ мрежата: T1021 (Remote Services). ATT&amp;CK: T1021 се използва от 62 APT групи (напр. APT28, APT29, Sandworm Team, FIN7) → P=5</t>
  </si>
  <si>
    <t>SSH от цялата HQ мрежа към DC е разрешен, с парола и общ акаунт, без ограничение на източник и без регистрация на сесиите</t>
  </si>
  <si>
    <t>Нападател, получил достъп до машина в HQ мрежата, използва разрешения SSH към DC (правило 5), налучква или използва откраднати данни и придобива админ достъп до сървърите в DC.</t>
  </si>
  <si>
    <t>Правило 5 позволява SSH само от HQ мрежата; дневник на връзките</t>
  </si>
  <si>
    <t>R-08</t>
  </si>
  <si>
    <t>A-10 (дневници и мониторинг)</t>
  </si>
  <si>
    <t>Нападател след компрометиране (заличаване на следи): T1070 (Indicator Removal). ATT&amp;CK: T1070 се използва от 49 APT групи (напр. APT28, APT29, Sandworm Team, Lazarus Group) → P=4</t>
  </si>
  <si>
    <t>Дневниците стоят локално на хостовете, на които администраторът има запис, и няма аларма при изтриване</t>
  </si>
  <si>
    <t>Нападател с админ права изтрива дневниците на Reverse Proxy и Backend и пречи на разследването и на уведомяването в срок.</t>
  </si>
  <si>
    <t>Локални дневници на връзките</t>
  </si>
  <si>
    <t>R-09</t>
  </si>
  <si>
    <t>A-11 (резервни копия)</t>
  </si>
  <si>
    <t>Ransomware група: T1486 (Data Encrypted for Impact) → T1490 (Inhibit System Recovery). ATT&amp;CK: T1486 се използва от 19 APT групи (напр. Sandworm Team, FIN7, Scattered Spider, FIN8) → P=2</t>
  </si>
  <si>
    <t>Резервните копия са в същия DC и са достъпни с админ акаунта, а възстановяването не е тествано</t>
  </si>
  <si>
    <t>Ransomware шифрова базата и изтрива резервните копия в същия DC, след което полиците не могат да бъдат възстановени и агентите спират да работят дни наред.</t>
  </si>
  <si>
    <t>Ежедневно копие в същия DC (допускане)</t>
  </si>
  <si>
    <t>Обосновка: лист „ATT&amp;CK обосновка“, T1486; въздействие: L4 – засяга и данните, и копията им; невъзстановимо</t>
  </si>
  <si>
    <t>R-10</t>
  </si>
  <si>
    <t>A-14 (системен администратор)</t>
  </si>
  <si>
    <t>Външен нападател или злонамерен вътрешен: T1552 (Unsecured Credentials) → T1078 (Valid Accounts). ATT&amp;CK: T1552 се използва от 23 APT групи (напр. Scattered Spider, Wizard Spider, Volt Typhoon, ShinyHunters) → P=3</t>
  </si>
  <si>
    <t>Администраторът пази SSH ключове и пароли в лични файлове, няма отделен акаунт за админ задачи, а знанието не е документирано</t>
  </si>
  <si>
    <t>Нападател взема ключове и пароли от работната станция на администратора, влиза с тях във всички системи, а липсата на заместник забавя реакцията.</t>
  </si>
  <si>
    <t>Няма</t>
  </si>
  <si>
    <t>Обосновка: лист „ATT&amp;CK обосновка“, T1552; въздействие: L4 – привилегированите акаунти отварят всички слоеве</t>
  </si>
  <si>
    <t>R-11</t>
  </si>
  <si>
    <t>A-05 (сървъри на DC)</t>
  </si>
  <si>
    <t>Нападател с достъп до Backend: T1068 (Exploitation for Privilege Escalation). ATT&amp;CK: T1068 се използва от 22 APT групи (напр. APT28, APT29, Scattered Spider, FIN6) → P=3</t>
  </si>
  <si>
    <t>Сървърите на DC се обновяват нередовно, а Backend работи с повишени права</t>
  </si>
  <si>
    <t>От компрометиран Backend нападател експлоатира уязвимост в ядрото или хипервайзора и получава контрол над хоста и над виртуалната машина с базата.</t>
  </si>
  <si>
    <t>Ръчно обновяване при възможност</t>
  </si>
  <si>
    <t>Обосновка: лист „ATT&amp;CK обосновка“, T1068; въздействие: L3 – контрол над хоста на DC</t>
  </si>
  <si>
    <t>R-12</t>
  </si>
  <si>
    <t>A-02 (мрежа и сегментация)</t>
  </si>
  <si>
    <t>Нападател във вътрешната мрежа: T1557 (Adversary-in-the-Middle). ATT&amp;CK: T1557 се използва от 8 APT групи (напр. APT28, Lazarus Group, Wizard Spider) → P=2</t>
  </si>
  <si>
    <t>Трафикът Reverse Proxy → Backend (3000) между София и В. Търново минава без TLS</t>
  </si>
  <si>
    <t>Нападател във вътрешната мрежа прихваща нешифрования трафик между Reverse Proxy и Backend и чете или променя данни за полици.</t>
  </si>
  <si>
    <t>Връзката е между доверени сегменти, филтрирана по правило 2</t>
  </si>
  <si>
    <t>Обосновка: лист „ATT&amp;CK обосновка“, T1557; въздействие: L3 – трафик към DC; лични данни (Данни 4)</t>
  </si>
  <si>
    <t>R-13</t>
  </si>
  <si>
    <t>A-13 (електронна поща)</t>
  </si>
  <si>
    <t>Нападател с откраднат пощенски акаунт: T1114 (Email Collection). ATT&amp;CK: T1114 се използва от 22 APT групи (напр. APT28, APT29, Scattered Spider, HAFNIUM) → P=3</t>
  </si>
  <si>
    <t>Пощенската услуга е при един облачен доставчик, а акаунтите нямат задължителен MFA</t>
  </si>
  <si>
    <t>Нападател чете пощата на служител и придобива вътрешна информация; личните данни на клиентите не се изпращат по имейл (политика), затова щетата е ограничена.</t>
  </si>
  <si>
    <t>SLA и вградена защита на доставчика; политика без лични данни по имейл</t>
  </si>
  <si>
    <t>приемане</t>
  </si>
  <si>
    <t>Обосновка: лист „ATT&amp;CK обосновка“, T1114; въздействие: L1 – периферен канал, без данни от DC</t>
  </si>
  <si>
    <t>R-14</t>
  </si>
  <si>
    <t>A-12 (AI асистент)</t>
  </si>
  <si>
    <t>Външен нападател (злоупотреба с публичния AI интерфейс): T1190 (Exploit Public-Facing Application). ATT&amp;CK: T1190 се използва от 46 APT групи (напр. APT28, APT29, Sandworm Team, FIN7) → P=4</t>
  </si>
  <si>
    <t>Интерфейсът на AI асистента няма ограничение на заявките и няма филтър на отговорите</t>
  </si>
  <si>
    <t>Нападател изпраща масови и изкривени заявки към AI асистента и изважда вътрешни тарифи и правила за оценка на риска; асистентът няма достъп до DC, затова личните данни не са засегнати.</t>
  </si>
  <si>
    <t>Асистентът няма достъп до DC (сценарий H5)</t>
  </si>
  <si>
    <t>Обосновка: лист „ATT&amp;CK обосновка“, T1190; въздействие: L1 – изолиран от DC; вътрешна информация (Данни 3)</t>
  </si>
  <si>
    <t>R-15</t>
  </si>
  <si>
    <t>Външен нападател (мрежов DoS): T1498 (Network Denial of Service). ATT&amp;CK: T1498 се използва от 1 APT групи (напр. APT28) → P=1</t>
  </si>
  <si>
    <t>Reverse Proxy няма облачна DDoS защита, но има ограничение на връзките на Nginx</t>
  </si>
  <si>
    <t>Мрежов DoS претоварва Reverse Proxy за няколко часа, агентите не могат да работят временно, а данните не са засегнати.</t>
  </si>
  <si>
    <t>Ограничение на връзките в Nginx и Firewall</t>
  </si>
  <si>
    <t>Обосновка: лист „ATT&amp;CK обосновка“, T1498; въздействие: L2 – засяга достъпността, не поверителността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</si>
  <si>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</si>
  <si>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</si>
  <si>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</si>
  <si>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</si>
  <si>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</si>
  <si>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</si>
  <si>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</si>
  <si>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</si>
  <si>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</si>
  <si>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</si>
  <si>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</si>
  <si>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Компрометиране на агентски акаунт чрез фишинг</t>
  </si>
  <si>
    <t>M1017 Обучение + симулирани фишинг кампании (на тримесечие); M1049 EDR/антивирус на терминалите; M1054 SPF/DKIM/DMARC и блокиране на макроси/изпълними прикачени файлове; M1032 MFA за агентите (виж R-02)</t>
  </si>
  <si>
    <t>A.6.3, A.8.7, A.8.23, A.5.17</t>
  </si>
  <si>
    <t>планиран</t>
  </si>
  <si>
    <t>Влизане с откраднати валидни акаунти (агенти и администратори)</t>
  </si>
  <si>
    <t>M1032 MFA (TOTP/WebAuthn) за всички роли, първо за DC администраторите; M1027 парола ≥14 знака и проверка за изтекли пароли; M1036 заключване след 5 грешки и известие за необичаен вход; M1018 преглед на акаунтите на тримесечие, спиране на неактивни</t>
  </si>
  <si>
    <t>A.5.15, A.5.16, A.5.17, A.8.5</t>
  </si>
  <si>
    <t>Експлоатация на публично достъпния Reverse Proxy</t>
  </si>
  <si>
    <t>M1051 обновяване на Nginx и ОС (критични — до 14 дни); M1050 WAF (ModSecurity + OWASP CRS); M1016 седмично сканиране за уязвимости; M1035 разрешени източници за админ интерфейса; M1048 Nginx без root права</t>
  </si>
  <si>
    <t>A.8.8, A.8.9, A.8.20, A.8.22</t>
  </si>
  <si>
    <t>Уеб шел и изпълнение на команди в Policy Backend</t>
  </si>
  <si>
    <t>M1047 мониторинг за цялост на файловете (AIDE/auditd); M1038 Backend като контейнер с read-only файлова система; M1026 услугата е със собствен непривилегирован акаунт; M1042 изключване на ненужни модули</t>
  </si>
  <si>
    <t>A.8.9, A.8.19, A.8.28, A.8.2</t>
  </si>
  <si>
    <t>Масово четене на лични и финансови данни от БД</t>
  </si>
  <si>
    <t>M1018 минимални права на DB акаунтите (без SELECT *, без export); M1041 криптиране на ЕГН/IBAN на ниво колона; M1047 pgaudit и аларма за заявки с голям обем; M1022 права върху файловете на БД</t>
  </si>
  <si>
    <t>A.8.3, A.8.24, A.8.11, A.5.34</t>
  </si>
  <si>
    <t>Изнасяне на данни от DC през C2 канал</t>
  </si>
  <si>
    <t>M1037 изходящ трафик от DC по подразбиране забранен (nftables), само списък с разрешени адреса за обновявания; M1031 откриване на C2 (Suricata); M1057 праг и аларма за голям изходящ обем. Остатъчното въздействие 4 зависи от шифроването по R-05.</t>
  </si>
  <si>
    <t>A.8.12, A.8.16, A.8.20, A.8.22</t>
  </si>
  <si>
    <t>Неоторизиран SSH достъп от HQ към DC</t>
  </si>
  <si>
    <t>M1035 SSH само от един jump host (nftables allowlist вместо цялата HQ мрежа); M1032 MFA или SSH сертификати; M1042 изключване на парола и root вход; M1026 именувани админ акаунти със sudo журнал</t>
  </si>
  <si>
    <t>A.8.5, A.8.2, A.8.20, A.5.18</t>
  </si>
  <si>
    <t>Заличаване на дневници след компрометиране</t>
  </si>
  <si>
    <t>M1029 изпращане на дневниците към отделен логсървър само за добавяне; M1022 append-only права; M1047 аларма при изтриване или спиране на логването; съхранение 12 месеца и синхронизация на времето</t>
  </si>
  <si>
    <t>A.8.15, A.8.16, A.8.17</t>
  </si>
  <si>
    <t>Ransomware с унищожаване на резервни копия</t>
  </si>
  <si>
    <t>M1053 правило 3-2-1: неизменяемо или офлайн копие извън DC (в София); M1018 отделни креденшъли за архива; M1038 забрана на непознати изпълними файлове на сървърите; тримесечен тест за възстановяване (RPO/RTO)</t>
  </si>
  <si>
    <t>A.8.13, A.8.14, A.5.30</t>
  </si>
  <si>
    <t>Кражба на админ креденшъли от лични файлове</t>
  </si>
  <si>
    <t>M1026 трезор за тайни (Vault/KeePass на екип) и отделен акаунт за админ задачи; M1027 ротация на ключове; M1047 сканиране за тайни; M1017 обучение; втори обучен администратор и runbook</t>
  </si>
  <si>
    <t>A.5.17, A.8.2, A.6.3</t>
  </si>
  <si>
    <t>Повишаване на права на хостовете на DC</t>
  </si>
  <si>
    <t>M1051 график за обновяване (критични до 14 дни); M1048 Backend в непривилегирован контейнер със seccomp; M1038 забрана на изпълнение от временните директории; M1019 абонамент за CVE известия</t>
  </si>
  <si>
    <t>A.8.8, A.8.9, A.8.22</t>
  </si>
  <si>
    <t>Прихващане на нешифриран трафик между Proxy и Backend</t>
  </si>
  <si>
    <t>Рискът е под апетита, но мярката е евтина: M1041 mTLS между Reverse Proxy и Backend; M1030 запазване на сегментацията; M1031 откриване на ARP/DNS подмяна</t>
  </si>
  <si>
    <t>A.8.24, A.8.20, A.5.14</t>
  </si>
  <si>
    <t>Четене на служебна поща при кражба на акаунт</t>
  </si>
  <si>
    <t>— (приема се; условие: личните данни не се изпращат по имейл; пощата влиза в обхвата на MFA от R-02 при възможност)</t>
  </si>
  <si>
    <t>приет</t>
  </si>
  <si>
    <t>Злоупотреба с публичния AI асистент</t>
  </si>
  <si>
    <t>M1050 WAF и ограничение на честотата; M1037 филтриране на трафика; M1016 сканиране; филтър на отговорите и ограничаване на източниците на знание (ATT&amp;CK не покрива prompt injection — вж. MITRE ATLAS)</t>
  </si>
  <si>
    <t>A.8.26, A.8.28, A.8.20</t>
  </si>
  <si>
    <t>Мрежов DoS срещу Reverse Proxy</t>
  </si>
  <si>
    <t>— (приема се; в ATT&amp;CK само 1 група използва T1498; наблюдава се от H4)</t>
  </si>
  <si>
    <t>Техника</t>
  </si>
  <si>
    <t>Име</t>
  </si>
  <si>
    <t>Тактика</t>
  </si>
  <si>
    <t>APT групи (брой)</t>
  </si>
  <si>
    <t>Примери за групи</t>
  </si>
  <si>
    <t>Вероятност P</t>
  </si>
  <si>
    <t>Риск(ове)</t>
  </si>
  <si>
    <t>ATT&amp;CK Mitigations (най-често свързани)</t>
  </si>
  <si>
    <t>T1566</t>
  </si>
  <si>
    <t>Phishing</t>
  </si>
  <si>
    <t>initial-access</t>
  </si>
  <si>
    <t>APT28, APT29, Sandworm Team, FIN7</t>
  </si>
  <si>
    <t>M1031 Network Intrusion Prevention; M1021 Restrict Web-Based Content; M1017 User Training; M1018 User Account Management; M1049 Antivirus/Antimalware; M1054 Software Configuration</t>
  </si>
  <si>
    <t>T1078</t>
  </si>
  <si>
    <t>Valid Accounts</t>
  </si>
  <si>
    <t>stealth, persistence, privilege-escalation, initial-access</t>
  </si>
  <si>
    <t>M1013 Application Developer Guidance; M1017 User Training; M1027 Password Policies; M1018 User Account Management; M1026 Privileged Account Management; M1032 Multi-factor Authentication</t>
  </si>
  <si>
    <t>T1021</t>
  </si>
  <si>
    <t>Remote Services</t>
  </si>
  <si>
    <t>lateral-movement</t>
  </si>
  <si>
    <t>M1035 Limit Access to Resource Over Network; M1037 Filter Network Traffic; M1033 Limit Software Installation; M1028 Operating System Configuration; M1030 Network Segmentation; M1027 Password Policies</t>
  </si>
  <si>
    <t>T1070</t>
  </si>
  <si>
    <t>Indicator Removal</t>
  </si>
  <si>
    <t>stealth</t>
  </si>
  <si>
    <t>APT28, APT29, Sandworm Team, Lazarus Group</t>
  </si>
  <si>
    <t>M1029 Remote Data Storage; M1039 Environment Variable Permissions; M1022 Restrict File and Directory Permissions; M1024 Restrict Registry Permissions; M1047 Audit; M1041 Encrypt Sensitive Information</t>
  </si>
  <si>
    <t>T1190</t>
  </si>
  <si>
    <t>Exploit Public-Facing Application</t>
  </si>
  <si>
    <t>R-03, R-14</t>
  </si>
  <si>
    <t>M1016 Vulnerability Scanning; M1035 Limit Access to Resource Over Network; M1037 Filter Network Traffic; M1030 Network Segmentation; M1026 Privileged Account Management; M1048 Application Isolation and Sandboxing</t>
  </si>
  <si>
    <t>T1505</t>
  </si>
  <si>
    <t>Server Software Component</t>
  </si>
  <si>
    <t>persistence</t>
  </si>
  <si>
    <t>APT28, APT29, Sandworm Team, Volt Typhoon</t>
  </si>
  <si>
    <t>M1038 Execution Prevention; M1045 Code Signing; M1046 Boot Integrity; M1018 User Account Management; M1026 Privileged Account Management; M1024 Restrict Registry Permissions</t>
  </si>
  <si>
    <t>T1041</t>
  </si>
  <si>
    <t>Exfiltration Over C2 Channel</t>
  </si>
  <si>
    <t>exfiltration</t>
  </si>
  <si>
    <t>Sandworm Team, Lazarus Group, Scattered Spider, Wizard Spider</t>
  </si>
  <si>
    <t>M1031 Network Intrusion Prevention; M1057 Data Loss Prevention</t>
  </si>
  <si>
    <t>T1552</t>
  </si>
  <si>
    <t>Unsecured Credentials</t>
  </si>
  <si>
    <t>credential-access</t>
  </si>
  <si>
    <t>Scattered Spider, Wizard Spider, Volt Typhoon, ShinyHunters</t>
  </si>
  <si>
    <t>M1035 Limit Access to Resource Over Network; M1037 Filter Network Traffic; M1017 User Training; M1028 Operating System Configuration; M1030 Network Segmentation; M1027 Password Policies</t>
  </si>
  <si>
    <t>T1068</t>
  </si>
  <si>
    <t>Exploitation for Privilege Escalation</t>
  </si>
  <si>
    <t>privilege-escalation</t>
  </si>
  <si>
    <t>APT28, APT29, Scattered Spider, FIN6</t>
  </si>
  <si>
    <t>M1038 Execution Prevention; M1019 Threat Intelligence Program; M1048 Application Isolation and Sandboxing; M1050 Exploit Protection; M1051 Update Software</t>
  </si>
  <si>
    <t>T1114</t>
  </si>
  <si>
    <t>Email Collection</t>
  </si>
  <si>
    <t>collection</t>
  </si>
  <si>
    <t>APT28, APT29, Scattered Spider, HAFNIUM</t>
  </si>
  <si>
    <t>M1060 Out-of-Band Communications Channel; M1032 Multi-factor Authentication; M1047 Audit; M1042 Disable or Remove Feature or Program; M1041 Encrypt Sensitive Information</t>
  </si>
  <si>
    <t>T1486</t>
  </si>
  <si>
    <t>Data Encrypted for Impact</t>
  </si>
  <si>
    <t>impact</t>
  </si>
  <si>
    <t>Sandworm Team, FIN7, Scattered Spider, FIN8</t>
  </si>
  <si>
    <t>M1053 Data Backup; M1040 Behavior Prevention on Endpoint</t>
  </si>
  <si>
    <t>T1213</t>
  </si>
  <si>
    <t>Data from Information Repositories</t>
  </si>
  <si>
    <t>APT28, Sandworm Team, Scattered Spider, FIN6</t>
  </si>
  <si>
    <t>M1017 User Training; M1060 Out-of-Band Communications Channel; M1018 User Account Management; M1032 Multi-factor Authentication; M1054 Software Configuration; M1047 Audit</t>
  </si>
  <si>
    <t>T1557</t>
  </si>
  <si>
    <t>Adversary-in-the-Middle</t>
  </si>
  <si>
    <t>credential-access, collection</t>
  </si>
  <si>
    <t>APT28, Lazarus Group, Wizard Spider</t>
  </si>
  <si>
    <t>M1031 Network Intrusion Prevention; M1035 Limit Access to Resource Over Network; M1037 Filter Network Traffic; M1017 User Training; M1030 Network Segmentation; M1042 Disable or Remove Feature or Program</t>
  </si>
  <si>
    <t>T1498</t>
  </si>
  <si>
    <t>Network Denial of Service</t>
  </si>
  <si>
    <t>APT28</t>
  </si>
  <si>
    <t>M1037 Filter Network Traffic</t>
  </si>
  <si>
    <t>Методика</t>
  </si>
  <si>
    <t>Вероятност (P): брой APT групи в MITRE ATT&amp;CK (enterprise-attack, данни от репото mitre-attack/attack-stix-data), които използват техниката, включително под-техниките. Праг: ≥60 групи → 5; 40–59 → 4; 20–39 → 3; 8–19 → 2; &lt;8 → 1.</t>
  </si>
  <si>
    <t>Въздействие (I): „колкото по-навътре е техниката, толкова по-високо е въздействието“. Слоеве: L1 краен потребител (оценка 2–3); L2 периметър/идентичност/мрежа (3–4); L3 вътрешност на DC (4); L4 данни и копия (5). Оценката е най-високото измежду слоя и четирите измерения от лист „Скали“.</t>
  </si>
  <si>
    <t>Третиране: колоната „Планиран контрол“ използва ATT&amp;CK Mitigations (M-кодове) за съответната техника, а Annex A кодовете са по ISO/IEC 27001:2022.</t>
  </si>
  <si>
    <t>Ограничение: бройката групи показва колко разпространена е техниката, а не конкретната експозиция на фирмата. Затова P е базова оценка и се преглежда при промяна на архитектурата.</t>
  </si>
  <si>
    <t>Допускания (не са в сценария): електронна поща (A-13), резервни копия в същия DC (A-11), една ключова админ позиция (A-14). Проверете ги със задачата на курса.</t>
  </si>
  <si>
    <t>Първоначален риск (P × I)</t>
  </si>
  <si>
    <t>Вероятност ↓ / Въздействие →</t>
  </si>
  <si>
    <t>Остатъчен риск след третиране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</si>
</sst>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2"/>
      <color rgb="FF1F3864"/>
      <name val="Arial"/>
      <charset val="1"/>
    </font>
    <font>
      <i/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center" wrapText="1"/>
    </xf>
    <xf numFmtId="0" fontId="11" fillId="0" borderId="0" xfId="0" applyFont="1"/>
    <xf numFmtId="0" fontId="12" fillId="0" borderId="0" xfId="0" applyFont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36" customHeight="1" x14ac:dyDescent="0.3">
      <c r="A1" s="2" t="s">
        <v>0</v>
      </c>
    </row>
    <row r="2" spans="1:1" x14ac:dyDescent="0.3">
      <c r="A2" s="3"/>
    </row>
    <row r="3" spans="1:1" x14ac:dyDescent="0.3">
      <c r="A3" s="4" t="s">
        <v>1</v>
      </c>
    </row>
    <row r="4" spans="1:1" x14ac:dyDescent="0.3">
      <c r="A4" s="3"/>
    </row>
    <row r="5" spans="1:1" x14ac:dyDescent="0.3">
      <c r="A5" s="4" t="s">
        <v>2</v>
      </c>
    </row>
    <row r="6" spans="1:1" x14ac:dyDescent="0.3">
      <c r="A6" s="3" t="s">
        <v>3</v>
      </c>
    </row>
    <row r="7" spans="1:1" ht="28.5" customHeight="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/>
    </row>
    <row r="10" spans="1:1" x14ac:dyDescent="0.3">
      <c r="A10" s="4" t="s">
        <v>6</v>
      </c>
    </row>
    <row r="11" spans="1:1" x14ac:dyDescent="0.3">
      <c r="A11" s="3" t="s">
        <v>7</v>
      </c>
    </row>
    <row r="12" spans="1:1" ht="28.5" customHeight="1" x14ac:dyDescent="0.3">
      <c r="A12" s="3" t="s">
        <v>8</v>
      </c>
    </row>
    <row r="13" spans="1:1" ht="28.5" customHeight="1" x14ac:dyDescent="0.3">
      <c r="A13" s="3" t="s">
        <v>9</v>
      </c>
    </row>
    <row r="14" spans="1:1" x14ac:dyDescent="0.3">
      <c r="A14" s="3" t="s">
        <v>10</v>
      </c>
    </row>
    <row r="15" spans="1:1" x14ac:dyDescent="0.3">
      <c r="A15" s="3" t="s">
        <v>11</v>
      </c>
    </row>
    <row r="16" spans="1:1" x14ac:dyDescent="0.3">
      <c r="A16" s="3"/>
    </row>
    <row r="17" spans="1:1" x14ac:dyDescent="0.3">
      <c r="A17" s="4" t="s">
        <v>12</v>
      </c>
    </row>
    <row r="18" spans="1:1" x14ac:dyDescent="0.3">
      <c r="A18" s="3" t="s">
        <v>13</v>
      </c>
    </row>
    <row r="19" spans="1:1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/>
    </row>
    <row r="22" spans="1:1" ht="30" customHeight="1" x14ac:dyDescent="0.3">
      <c r="A22" s="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8.25" customHeight="1" x14ac:dyDescent="0.3">
      <c r="A1" s="6" t="s">
        <v>17</v>
      </c>
      <c r="B1" s="7">
        <v>9</v>
      </c>
    </row>
    <row r="2" spans="1:5" ht="36" customHeight="1" x14ac:dyDescent="0.3">
      <c r="A2" s="8" t="s">
        <v>18</v>
      </c>
    </row>
    <row r="4" spans="1:5" ht="30" customHeight="1" x14ac:dyDescent="0.3">
      <c r="A4" s="9" t="s">
        <v>19</v>
      </c>
    </row>
    <row r="5" spans="1:5" x14ac:dyDescent="0.3">
      <c r="A5" s="6" t="s">
        <v>20</v>
      </c>
      <c r="B5" s="1" t="s">
        <v>21</v>
      </c>
    </row>
    <row r="6" spans="1:5" x14ac:dyDescent="0.3">
      <c r="A6" s="6" t="s">
        <v>22</v>
      </c>
      <c r="B6" s="1" t="s">
        <v>23</v>
      </c>
    </row>
    <row r="7" spans="1:5" x14ac:dyDescent="0.3">
      <c r="A7" s="6" t="s">
        <v>24</v>
      </c>
      <c r="B7" s="1" t="s">
        <v>25</v>
      </c>
    </row>
    <row r="8" spans="1:5" ht="25.5" customHeight="1" x14ac:dyDescent="0.3">
      <c r="A8" s="6" t="s">
        <v>26</v>
      </c>
      <c r="B8" s="1" t="s">
        <v>27</v>
      </c>
    </row>
    <row r="9" spans="1:5" x14ac:dyDescent="0.3">
      <c r="A9" s="6" t="s">
        <v>28</v>
      </c>
      <c r="B9" s="1" t="s">
        <v>29</v>
      </c>
    </row>
    <row r="11" spans="1:5" ht="45" customHeight="1" x14ac:dyDescent="0.3">
      <c r="A11" s="9" t="s">
        <v>30</v>
      </c>
    </row>
    <row r="12" spans="1:5" x14ac:dyDescent="0.3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 spans="1:5" ht="25.5" customHeight="1" x14ac:dyDescent="0.3">
      <c r="A13" s="6" t="s">
        <v>36</v>
      </c>
      <c r="B13" s="1" t="s">
        <v>37</v>
      </c>
      <c r="C13" s="1" t="s">
        <v>38</v>
      </c>
      <c r="D13" s="1" t="s">
        <v>39</v>
      </c>
      <c r="E13" s="1" t="s">
        <v>40</v>
      </c>
    </row>
    <row r="14" spans="1:5" ht="25.5" customHeight="1" x14ac:dyDescent="0.3">
      <c r="A14" s="6" t="s">
        <v>41</v>
      </c>
      <c r="B14" s="1" t="s">
        <v>42</v>
      </c>
      <c r="C14" s="1" t="s">
        <v>43</v>
      </c>
      <c r="D14" s="1" t="s">
        <v>44</v>
      </c>
      <c r="E14" s="1" t="s">
        <v>45</v>
      </c>
    </row>
    <row r="15" spans="1:5" ht="25.5" customHeight="1" x14ac:dyDescent="0.3">
      <c r="A15" s="6" t="s">
        <v>46</v>
      </c>
      <c r="B15" s="1" t="s">
        <v>47</v>
      </c>
      <c r="C15" s="1" t="s">
        <v>48</v>
      </c>
      <c r="D15" s="1" t="s">
        <v>49</v>
      </c>
      <c r="E15" s="1" t="s">
        <v>50</v>
      </c>
    </row>
    <row r="16" spans="1:5" ht="25.5" customHeight="1" x14ac:dyDescent="0.3">
      <c r="A16" s="6" t="s">
        <v>51</v>
      </c>
      <c r="B16" s="1" t="s">
        <v>52</v>
      </c>
      <c r="C16" s="1" t="s">
        <v>53</v>
      </c>
      <c r="D16" s="1" t="s">
        <v>54</v>
      </c>
      <c r="E16" s="1" t="s">
        <v>55</v>
      </c>
    </row>
    <row r="17" spans="1:5" ht="25.5" customHeight="1" x14ac:dyDescent="0.3">
      <c r="A17" s="6" t="s">
        <v>56</v>
      </c>
      <c r="B17" s="1" t="s">
        <v>57</v>
      </c>
      <c r="C17" s="1" t="s">
        <v>58</v>
      </c>
      <c r="D17" s="1" t="s">
        <v>59</v>
      </c>
      <c r="E17" s="1" t="s">
        <v>60</v>
      </c>
    </row>
    <row r="19" spans="1:5" ht="30" customHeight="1" x14ac:dyDescent="0.3">
      <c r="A19" s="9" t="s">
        <v>61</v>
      </c>
    </row>
    <row r="20" spans="1:5" x14ac:dyDescent="0.3">
      <c r="A20" s="10" t="s">
        <v>31</v>
      </c>
      <c r="B20" s="10" t="s">
        <v>62</v>
      </c>
      <c r="C20" s="10" t="s">
        <v>63</v>
      </c>
      <c r="D20" s="10" t="s">
        <v>64</v>
      </c>
    </row>
    <row r="21" spans="1:5" ht="25.5" customHeight="1" x14ac:dyDescent="0.3">
      <c r="A21" s="6" t="s">
        <v>65</v>
      </c>
      <c r="B21" s="1" t="s">
        <v>66</v>
      </c>
      <c r="C21" s="11"/>
      <c r="D21" s="1" t="s">
        <v>67</v>
      </c>
    </row>
    <row r="22" spans="1:5" x14ac:dyDescent="0.3">
      <c r="A22" s="6" t="s">
        <v>68</v>
      </c>
      <c r="B22" s="1" t="s">
        <v>69</v>
      </c>
      <c r="C22" s="12"/>
      <c r="D22" s="1" t="s">
        <v>70</v>
      </c>
    </row>
    <row r="23" spans="1:5" x14ac:dyDescent="0.3">
      <c r="A23" s="6" t="s">
        <v>71</v>
      </c>
      <c r="B23" s="1" t="s">
        <v>72</v>
      </c>
      <c r="C23" s="13"/>
      <c r="D23" s="1" t="s">
        <v>73</v>
      </c>
    </row>
    <row r="24" spans="1:5" ht="38.25" customHeight="1" x14ac:dyDescent="0.3">
      <c r="A24" s="6" t="s">
        <v>74</v>
      </c>
      <c r="B24" s="1" t="s">
        <v>75</v>
      </c>
      <c r="C24" s="14"/>
      <c r="D24" s="1" t="s">
        <v>76</v>
      </c>
    </row>
    <row r="26" spans="1:5" x14ac:dyDescent="0.3">
      <c r="A26" s="9" t="s">
        <v>77</v>
      </c>
    </row>
    <row r="27" spans="1:5" ht="25.5" customHeight="1" x14ac:dyDescent="0.3">
      <c r="A27" s="6" t="s">
        <v>78</v>
      </c>
      <c r="B27" s="1" t="s">
        <v>79</v>
      </c>
    </row>
    <row r="28" spans="1:5" ht="25.5" customHeight="1" x14ac:dyDescent="0.3">
      <c r="A28" s="6" t="s">
        <v>80</v>
      </c>
      <c r="B28" s="1" t="s">
        <v>81</v>
      </c>
    </row>
    <row r="29" spans="1:5" x14ac:dyDescent="0.3">
      <c r="A29" s="6" t="s">
        <v>82</v>
      </c>
      <c r="B29" s="1" t="s">
        <v>83</v>
      </c>
    </row>
    <row r="30" spans="1:5" ht="25.5" customHeight="1" x14ac:dyDescent="0.3">
      <c r="A30" s="6" t="s">
        <v>84</v>
      </c>
      <c r="B30" s="1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zoomScaleNormal="100" workbookViewId="0">
      <pane ySplit="1" topLeftCell="A2" activePane="bottomLeft" state="frozen"/>
      <selection pane="bottomLeft" activeCell="H13" sqref="H13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6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 spans="1:9" ht="45" customHeight="1" x14ac:dyDescent="0.3">
      <c r="A2" s="16" t="s">
        <v>95</v>
      </c>
      <c r="B2" s="16" t="s">
        <v>96</v>
      </c>
      <c r="C2" s="16" t="s">
        <v>97</v>
      </c>
      <c r="D2" s="16" t="s">
        <v>98</v>
      </c>
      <c r="E2" s="16" t="s">
        <v>99</v>
      </c>
      <c r="F2" s="16" t="s">
        <v>100</v>
      </c>
      <c r="G2" s="16" t="s">
        <v>101</v>
      </c>
      <c r="H2" s="16" t="s">
        <v>102</v>
      </c>
      <c r="I2" s="17" t="s">
        <v>103</v>
      </c>
    </row>
    <row r="3" spans="1:9" ht="45" customHeight="1" x14ac:dyDescent="0.3">
      <c r="A3" s="16" t="s">
        <v>104</v>
      </c>
      <c r="B3" s="16" t="s">
        <v>105</v>
      </c>
      <c r="C3" s="16" t="s">
        <v>106</v>
      </c>
      <c r="D3" s="16" t="s">
        <v>98</v>
      </c>
      <c r="E3" s="16" t="s">
        <v>99</v>
      </c>
      <c r="F3" s="16" t="s">
        <v>107</v>
      </c>
      <c r="G3" s="16" t="s">
        <v>108</v>
      </c>
      <c r="H3" s="16" t="s">
        <v>109</v>
      </c>
      <c r="I3" s="17" t="s">
        <v>110</v>
      </c>
    </row>
    <row r="4" spans="1:9" ht="45" customHeight="1" x14ac:dyDescent="0.3">
      <c r="A4" s="16" t="s">
        <v>111</v>
      </c>
      <c r="B4" s="16" t="s">
        <v>112</v>
      </c>
      <c r="C4" s="16" t="s">
        <v>97</v>
      </c>
      <c r="D4" s="16" t="s">
        <v>98</v>
      </c>
      <c r="E4" s="16" t="s">
        <v>99</v>
      </c>
      <c r="F4" s="16" t="s">
        <v>113</v>
      </c>
      <c r="G4" s="16" t="s">
        <v>114</v>
      </c>
      <c r="H4" s="16" t="s">
        <v>115</v>
      </c>
      <c r="I4" s="17" t="s">
        <v>116</v>
      </c>
    </row>
    <row r="5" spans="1:9" ht="45" customHeight="1" x14ac:dyDescent="0.3">
      <c r="A5" s="16" t="s">
        <v>117</v>
      </c>
      <c r="B5" s="16" t="s">
        <v>118</v>
      </c>
      <c r="C5" s="16" t="s">
        <v>119</v>
      </c>
      <c r="D5" s="16" t="s">
        <v>120</v>
      </c>
      <c r="E5" s="16" t="s">
        <v>121</v>
      </c>
      <c r="F5" s="16" t="s">
        <v>113</v>
      </c>
      <c r="G5" s="16" t="s">
        <v>122</v>
      </c>
      <c r="H5" s="16" t="s">
        <v>123</v>
      </c>
      <c r="I5" s="17" t="s">
        <v>124</v>
      </c>
    </row>
    <row r="6" spans="1:9" ht="45" customHeight="1" x14ac:dyDescent="0.3">
      <c r="A6" s="16" t="s">
        <v>125</v>
      </c>
      <c r="B6" s="16" t="s">
        <v>126</v>
      </c>
      <c r="C6" s="16" t="s">
        <v>127</v>
      </c>
      <c r="D6" s="16" t="s">
        <v>98</v>
      </c>
      <c r="E6" s="16" t="s">
        <v>99</v>
      </c>
      <c r="F6" s="16" t="s">
        <v>100</v>
      </c>
      <c r="G6" s="16" t="s">
        <v>128</v>
      </c>
      <c r="H6" s="16" t="s">
        <v>129</v>
      </c>
      <c r="I6" s="17" t="s">
        <v>130</v>
      </c>
    </row>
    <row r="7" spans="1:9" ht="45" customHeight="1" x14ac:dyDescent="0.3">
      <c r="A7" s="16" t="s">
        <v>131</v>
      </c>
      <c r="B7" s="16" t="s">
        <v>132</v>
      </c>
      <c r="C7" s="16" t="s">
        <v>127</v>
      </c>
      <c r="D7" s="16" t="s">
        <v>133</v>
      </c>
      <c r="E7" s="16" t="s">
        <v>134</v>
      </c>
      <c r="F7" s="16" t="s">
        <v>107</v>
      </c>
      <c r="G7" s="16" t="s">
        <v>135</v>
      </c>
      <c r="H7" s="16" t="s">
        <v>102</v>
      </c>
      <c r="I7" s="17" t="s">
        <v>136</v>
      </c>
    </row>
    <row r="8" spans="1:9" ht="45" customHeight="1" x14ac:dyDescent="0.3">
      <c r="A8" s="16" t="s">
        <v>137</v>
      </c>
      <c r="B8" s="16" t="s">
        <v>138</v>
      </c>
      <c r="C8" s="16" t="s">
        <v>139</v>
      </c>
      <c r="D8" s="16" t="s">
        <v>140</v>
      </c>
      <c r="E8" s="16" t="s">
        <v>99</v>
      </c>
      <c r="F8" s="16" t="s">
        <v>100</v>
      </c>
      <c r="G8" s="16" t="s">
        <v>141</v>
      </c>
      <c r="H8" s="16" t="s">
        <v>142</v>
      </c>
      <c r="I8" s="17" t="s">
        <v>143</v>
      </c>
    </row>
    <row r="9" spans="1:9" ht="45" customHeight="1" x14ac:dyDescent="0.3">
      <c r="A9" s="16" t="s">
        <v>144</v>
      </c>
      <c r="B9" s="16" t="s">
        <v>145</v>
      </c>
      <c r="C9" s="16" t="s">
        <v>139</v>
      </c>
      <c r="D9" s="16" t="s">
        <v>98</v>
      </c>
      <c r="E9" s="16" t="s">
        <v>146</v>
      </c>
      <c r="F9" s="16" t="s">
        <v>113</v>
      </c>
      <c r="G9" s="16" t="s">
        <v>147</v>
      </c>
      <c r="H9" s="16" t="s">
        <v>148</v>
      </c>
      <c r="I9" s="16" t="s">
        <v>149</v>
      </c>
    </row>
    <row r="10" spans="1:9" ht="45" customHeight="1" x14ac:dyDescent="0.3">
      <c r="A10" s="16" t="s">
        <v>150</v>
      </c>
      <c r="B10" s="16" t="s">
        <v>151</v>
      </c>
      <c r="C10" s="16" t="s">
        <v>139</v>
      </c>
      <c r="D10" s="16" t="s">
        <v>98</v>
      </c>
      <c r="E10" s="16" t="s">
        <v>99</v>
      </c>
      <c r="F10" s="16" t="s">
        <v>100</v>
      </c>
      <c r="G10" s="16" t="s">
        <v>152</v>
      </c>
      <c r="H10" s="16" t="s">
        <v>153</v>
      </c>
      <c r="I10" s="16" t="s">
        <v>154</v>
      </c>
    </row>
    <row r="11" spans="1:9" ht="45" customHeight="1" x14ac:dyDescent="0.3">
      <c r="A11" s="16" t="s">
        <v>155</v>
      </c>
      <c r="B11" s="16" t="s">
        <v>156</v>
      </c>
      <c r="C11" s="16" t="s">
        <v>119</v>
      </c>
      <c r="D11" s="16" t="s">
        <v>146</v>
      </c>
      <c r="E11" s="16" t="s">
        <v>99</v>
      </c>
      <c r="F11" s="16" t="s">
        <v>100</v>
      </c>
      <c r="G11" s="16" t="s">
        <v>157</v>
      </c>
      <c r="H11" s="16" t="s">
        <v>158</v>
      </c>
      <c r="I11" s="16" t="s">
        <v>159</v>
      </c>
    </row>
    <row r="12" spans="1:9" ht="45" customHeight="1" x14ac:dyDescent="0.3">
      <c r="A12" s="16" t="s">
        <v>160</v>
      </c>
      <c r="B12" s="16" t="s">
        <v>161</v>
      </c>
      <c r="C12" s="16" t="s">
        <v>119</v>
      </c>
      <c r="D12" s="16" t="s">
        <v>98</v>
      </c>
      <c r="E12" s="16" t="s">
        <v>121</v>
      </c>
      <c r="F12" s="16" t="s">
        <v>113</v>
      </c>
      <c r="G12" s="16" t="s">
        <v>162</v>
      </c>
      <c r="H12" s="16" t="s">
        <v>163</v>
      </c>
      <c r="I12" s="16" t="s">
        <v>164</v>
      </c>
    </row>
    <row r="13" spans="1:9" ht="45" customHeight="1" x14ac:dyDescent="0.3">
      <c r="A13" s="16" t="s">
        <v>165</v>
      </c>
      <c r="B13" s="16" t="s">
        <v>166</v>
      </c>
      <c r="C13" s="16" t="s">
        <v>97</v>
      </c>
      <c r="D13" s="16" t="s">
        <v>140</v>
      </c>
      <c r="E13" s="16" t="s">
        <v>99</v>
      </c>
      <c r="F13" s="16" t="s">
        <v>107</v>
      </c>
      <c r="G13" s="16" t="s">
        <v>167</v>
      </c>
      <c r="H13" s="16" t="s">
        <v>168</v>
      </c>
      <c r="I13" s="16" t="s">
        <v>169</v>
      </c>
    </row>
    <row r="14" spans="1:9" ht="45" customHeight="1" x14ac:dyDescent="0.3">
      <c r="A14" s="16" t="s">
        <v>170</v>
      </c>
      <c r="B14" s="16" t="s">
        <v>171</v>
      </c>
      <c r="C14" s="16" t="s">
        <v>139</v>
      </c>
      <c r="D14" s="16" t="s">
        <v>98</v>
      </c>
      <c r="E14" s="16" t="s">
        <v>99</v>
      </c>
      <c r="F14" s="16" t="s">
        <v>107</v>
      </c>
      <c r="G14" s="16" t="s">
        <v>172</v>
      </c>
      <c r="H14" s="16" t="s">
        <v>102</v>
      </c>
      <c r="I14" s="16" t="s">
        <v>173</v>
      </c>
    </row>
    <row r="15" spans="1:9" ht="45" customHeight="1" x14ac:dyDescent="0.3">
      <c r="A15" s="16" t="s">
        <v>174</v>
      </c>
      <c r="B15" s="16" t="s">
        <v>175</v>
      </c>
      <c r="C15" s="16" t="s">
        <v>176</v>
      </c>
      <c r="D15" s="16" t="s">
        <v>177</v>
      </c>
      <c r="E15" s="16" t="s">
        <v>109</v>
      </c>
      <c r="F15" s="16" t="s">
        <v>100</v>
      </c>
      <c r="G15" s="16" t="s">
        <v>147</v>
      </c>
      <c r="H15" s="16" t="s">
        <v>178</v>
      </c>
      <c r="I15" s="16" t="s">
        <v>179</v>
      </c>
    </row>
    <row r="16" spans="1:9" ht="45" customHeight="1" x14ac:dyDescent="0.3">
      <c r="A16" s="16" t="s">
        <v>129</v>
      </c>
      <c r="B16" s="16" t="s">
        <v>180</v>
      </c>
      <c r="C16" s="16" t="s">
        <v>181</v>
      </c>
      <c r="D16" s="16" t="s">
        <v>177</v>
      </c>
      <c r="E16" s="16" t="s">
        <v>182</v>
      </c>
      <c r="F16" s="16" t="s">
        <v>100</v>
      </c>
      <c r="G16" s="16" t="s">
        <v>183</v>
      </c>
      <c r="H16" s="16" t="s">
        <v>109</v>
      </c>
      <c r="I16" s="16" t="s">
        <v>184</v>
      </c>
    </row>
    <row r="17" spans="1:9" ht="45" customHeight="1" x14ac:dyDescent="0.3">
      <c r="A17" s="16" t="s">
        <v>185</v>
      </c>
      <c r="B17" s="16" t="s">
        <v>186</v>
      </c>
      <c r="C17" s="16" t="s">
        <v>176</v>
      </c>
      <c r="D17" s="16" t="s">
        <v>133</v>
      </c>
      <c r="E17" s="16" t="s">
        <v>109</v>
      </c>
      <c r="F17" s="16" t="s">
        <v>107</v>
      </c>
      <c r="G17" s="16" t="s">
        <v>187</v>
      </c>
      <c r="H17" s="16" t="s">
        <v>188</v>
      </c>
      <c r="I17" s="16" t="s">
        <v>189</v>
      </c>
    </row>
    <row r="18" spans="1:9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type="list" allowBlank="1" sqref="C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topLeftCell="F1" zoomScaleNormal="100" workbookViewId="0">
      <pane ySplit="1" topLeftCell="A8" activePane="bottomLeft" state="frozen"/>
      <selection pane="bottomLeft" activeCell="O3" sqref="O3"/>
    </sheetView>
  </sheetViews>
  <sheetFormatPr defaultColWidth="8.6640625" defaultRowHeight="14.4" x14ac:dyDescent="0.3"/>
  <cols>
    <col min="1" max="1" width="8" customWidth="1"/>
    <col min="2" max="2" width="24" customWidth="1"/>
    <col min="3" max="3" width="48" customWidth="1"/>
    <col min="4" max="4" width="36" customWidth="1"/>
    <col min="5" max="5" width="44" customWidth="1"/>
    <col min="6" max="6" width="28" customWidth="1"/>
    <col min="7" max="8" width="5" customWidth="1"/>
    <col min="9" max="9" width="7" customWidth="1"/>
    <col min="10" max="11" width="9" customWidth="1"/>
    <col min="12" max="12" width="14" customWidth="1"/>
    <col min="13" max="13" width="24" customWidth="1"/>
    <col min="14" max="14" width="12" customWidth="1"/>
    <col min="15" max="15" width="10" customWidth="1"/>
    <col min="16" max="17" width="8" customWidth="1"/>
    <col min="18" max="18" width="11" customWidth="1"/>
    <col min="19" max="19" width="44" customWidth="1"/>
  </cols>
  <sheetData>
    <row r="1" spans="1:19" ht="30" customHeight="1" x14ac:dyDescent="0.3">
      <c r="A1" s="15" t="s">
        <v>190</v>
      </c>
      <c r="B1" s="15" t="s">
        <v>86</v>
      </c>
      <c r="C1" s="15" t="s">
        <v>191</v>
      </c>
      <c r="D1" s="15" t="s">
        <v>192</v>
      </c>
      <c r="E1" s="15" t="s">
        <v>193</v>
      </c>
      <c r="F1" s="15" t="s">
        <v>194</v>
      </c>
      <c r="G1" s="15" t="s">
        <v>195</v>
      </c>
      <c r="H1" s="15" t="s">
        <v>196</v>
      </c>
      <c r="I1" s="15" t="s">
        <v>197</v>
      </c>
      <c r="J1" s="15" t="s">
        <v>31</v>
      </c>
      <c r="K1" s="15" t="s">
        <v>198</v>
      </c>
      <c r="L1" s="15" t="s">
        <v>199</v>
      </c>
      <c r="M1" s="15" t="s">
        <v>200</v>
      </c>
      <c r="N1" s="15" t="s">
        <v>201</v>
      </c>
      <c r="O1" s="15" t="s">
        <v>202</v>
      </c>
      <c r="P1" s="15" t="s">
        <v>203</v>
      </c>
      <c r="Q1" s="15" t="s">
        <v>204</v>
      </c>
      <c r="R1" s="15" t="s">
        <v>205</v>
      </c>
      <c r="S1" s="15" t="s">
        <v>206</v>
      </c>
    </row>
    <row r="2" spans="1:19" ht="150" customHeight="1" x14ac:dyDescent="0.3">
      <c r="A2" s="16" t="s">
        <v>207</v>
      </c>
      <c r="B2" s="16" t="s">
        <v>208</v>
      </c>
      <c r="C2" s="16" t="s">
        <v>209</v>
      </c>
      <c r="D2" s="16" t="s">
        <v>210</v>
      </c>
      <c r="E2" s="16" t="s">
        <v>211</v>
      </c>
      <c r="F2" s="16" t="s">
        <v>212</v>
      </c>
      <c r="G2" s="16">
        <v>5</v>
      </c>
      <c r="H2" s="16">
        <v>3</v>
      </c>
      <c r="I2" s="18">
        <f t="shared" ref="I2:I65" si="0">IF(OR(G2="",H2=""),"",G2*H2)</f>
        <v>15</v>
      </c>
      <c r="J2" s="18" t="str">
        <f t="shared" ref="J2:J65" si="1">IF(I2="","",IF(I2&lt;=4,"нисък",IF(I2&lt;=9,"умерен",IF(I2&lt;=15,"висок","критичен"))))</f>
        <v>висок</v>
      </c>
      <c r="K2" s="18" t="str">
        <f>IF(I2="","",IF(I2&lt;=Скали!$B$1,"да","не"))</f>
        <v>не</v>
      </c>
      <c r="L2" s="16" t="s">
        <v>213</v>
      </c>
      <c r="M2" s="16" t="s">
        <v>98</v>
      </c>
      <c r="N2" s="16"/>
      <c r="O2" s="16"/>
      <c r="P2" s="16">
        <v>3</v>
      </c>
      <c r="Q2" s="16">
        <v>3</v>
      </c>
      <c r="R2" s="18">
        <f t="shared" ref="R2:R65" si="2">IF(OR(P2="",Q2=""),"",P2*Q2)</f>
        <v>9</v>
      </c>
      <c r="S2" s="16" t="s">
        <v>214</v>
      </c>
    </row>
    <row r="3" spans="1:19" ht="150" customHeight="1" x14ac:dyDescent="0.3">
      <c r="A3" s="16" t="s">
        <v>215</v>
      </c>
      <c r="B3" s="16" t="s">
        <v>216</v>
      </c>
      <c r="C3" s="16" t="s">
        <v>217</v>
      </c>
      <c r="D3" s="16" t="s">
        <v>218</v>
      </c>
      <c r="E3" s="16" t="s">
        <v>219</v>
      </c>
      <c r="F3" s="16" t="s">
        <v>220</v>
      </c>
      <c r="G3" s="16">
        <v>5</v>
      </c>
      <c r="H3" s="16">
        <v>4</v>
      </c>
      <c r="I3" s="18">
        <f t="shared" si="0"/>
        <v>20</v>
      </c>
      <c r="J3" s="18" t="str">
        <f t="shared" si="1"/>
        <v>критичен</v>
      </c>
      <c r="K3" s="18" t="str">
        <f>IF(I3="","",IF(I3&lt;=Скали!$B$1,"да","не"))</f>
        <v>не</v>
      </c>
      <c r="L3" s="16" t="s">
        <v>213</v>
      </c>
      <c r="M3" s="16" t="s">
        <v>98</v>
      </c>
      <c r="N3" s="16"/>
      <c r="O3" s="16"/>
      <c r="P3" s="16">
        <v>2</v>
      </c>
      <c r="Q3" s="16">
        <v>4</v>
      </c>
      <c r="R3" s="18">
        <f t="shared" si="2"/>
        <v>8</v>
      </c>
      <c r="S3" s="16"/>
    </row>
    <row r="4" spans="1:19" ht="150" customHeight="1" x14ac:dyDescent="0.3">
      <c r="A4" s="16" t="s">
        <v>221</v>
      </c>
      <c r="B4" s="16" t="s">
        <v>222</v>
      </c>
      <c r="C4" s="16" t="s">
        <v>223</v>
      </c>
      <c r="D4" s="16" t="s">
        <v>224</v>
      </c>
      <c r="E4" s="16" t="s">
        <v>225</v>
      </c>
      <c r="F4" s="16" t="s">
        <v>226</v>
      </c>
      <c r="G4" s="16">
        <v>4</v>
      </c>
      <c r="H4" s="16">
        <v>4</v>
      </c>
      <c r="I4" s="18">
        <f t="shared" si="0"/>
        <v>16</v>
      </c>
      <c r="J4" s="18" t="str">
        <f t="shared" si="1"/>
        <v>критичен</v>
      </c>
      <c r="K4" s="18" t="str">
        <f>IF(I4="","",IF(I4&lt;=Скали!$B$1,"да","не"))</f>
        <v>не</v>
      </c>
      <c r="L4" s="16" t="s">
        <v>213</v>
      </c>
      <c r="M4" s="16" t="s">
        <v>98</v>
      </c>
      <c r="N4" s="16"/>
      <c r="O4" s="16"/>
      <c r="P4" s="16">
        <v>2</v>
      </c>
      <c r="Q4" s="16">
        <v>4</v>
      </c>
      <c r="R4" s="18">
        <f t="shared" si="2"/>
        <v>8</v>
      </c>
      <c r="S4" s="16"/>
    </row>
    <row r="5" spans="1:19" ht="150" customHeight="1" x14ac:dyDescent="0.3">
      <c r="A5" s="16" t="s">
        <v>227</v>
      </c>
      <c r="B5" s="16" t="s">
        <v>228</v>
      </c>
      <c r="C5" s="16" t="s">
        <v>229</v>
      </c>
      <c r="D5" s="16" t="s">
        <v>230</v>
      </c>
      <c r="E5" s="16" t="s">
        <v>231</v>
      </c>
      <c r="F5" s="16" t="s">
        <v>232</v>
      </c>
      <c r="G5" s="16">
        <v>3</v>
      </c>
      <c r="H5" s="16">
        <v>4</v>
      </c>
      <c r="I5" s="18">
        <f t="shared" si="0"/>
        <v>12</v>
      </c>
      <c r="J5" s="18" t="str">
        <f t="shared" si="1"/>
        <v>висок</v>
      </c>
      <c r="K5" s="18" t="str">
        <f>IF(I5="","",IF(I5&lt;=Скали!$B$1,"да","не"))</f>
        <v>не</v>
      </c>
      <c r="L5" s="16" t="s">
        <v>213</v>
      </c>
      <c r="M5" s="16" t="s">
        <v>98</v>
      </c>
      <c r="N5" s="16"/>
      <c r="O5" s="16"/>
      <c r="P5" s="16">
        <v>2</v>
      </c>
      <c r="Q5" s="16">
        <v>4</v>
      </c>
      <c r="R5" s="18">
        <f t="shared" si="2"/>
        <v>8</v>
      </c>
      <c r="S5" s="16" t="s">
        <v>233</v>
      </c>
    </row>
    <row r="6" spans="1:19" ht="150" customHeight="1" x14ac:dyDescent="0.3">
      <c r="A6" s="16" t="s">
        <v>234</v>
      </c>
      <c r="B6" s="16" t="s">
        <v>235</v>
      </c>
      <c r="C6" s="16" t="s">
        <v>236</v>
      </c>
      <c r="D6" s="16" t="s">
        <v>237</v>
      </c>
      <c r="E6" s="16" t="s">
        <v>238</v>
      </c>
      <c r="F6" s="16" t="s">
        <v>239</v>
      </c>
      <c r="G6" s="16">
        <v>2</v>
      </c>
      <c r="H6" s="16">
        <v>5</v>
      </c>
      <c r="I6" s="18">
        <f t="shared" si="0"/>
        <v>10</v>
      </c>
      <c r="J6" s="18" t="str">
        <f t="shared" si="1"/>
        <v>висок</v>
      </c>
      <c r="K6" s="18" t="str">
        <f>IF(I6="","",IF(I6&lt;=Скали!$B$1,"да","не"))</f>
        <v>не</v>
      </c>
      <c r="L6" s="16" t="s">
        <v>213</v>
      </c>
      <c r="M6" s="16" t="s">
        <v>120</v>
      </c>
      <c r="N6" s="16"/>
      <c r="O6" s="16"/>
      <c r="P6" s="16">
        <v>2</v>
      </c>
      <c r="Q6" s="16">
        <v>4</v>
      </c>
      <c r="R6" s="18">
        <f t="shared" si="2"/>
        <v>8</v>
      </c>
      <c r="S6" s="16" t="s">
        <v>240</v>
      </c>
    </row>
    <row r="7" spans="1:19" ht="150" customHeight="1" x14ac:dyDescent="0.3">
      <c r="A7" s="16" t="s">
        <v>241</v>
      </c>
      <c r="B7" s="16" t="s">
        <v>235</v>
      </c>
      <c r="C7" s="16" t="s">
        <v>242</v>
      </c>
      <c r="D7" s="16" t="s">
        <v>243</v>
      </c>
      <c r="E7" s="16" t="s">
        <v>244</v>
      </c>
      <c r="F7" s="16" t="s">
        <v>245</v>
      </c>
      <c r="G7" s="16">
        <v>3</v>
      </c>
      <c r="H7" s="16">
        <v>5</v>
      </c>
      <c r="I7" s="18">
        <f t="shared" si="0"/>
        <v>15</v>
      </c>
      <c r="J7" s="18" t="str">
        <f t="shared" si="1"/>
        <v>висок</v>
      </c>
      <c r="K7" s="18" t="str">
        <f>IF(I7="","",IF(I7&lt;=Скали!$B$1,"да","не"))</f>
        <v>не</v>
      </c>
      <c r="L7" s="16" t="s">
        <v>213</v>
      </c>
      <c r="M7" s="16" t="s">
        <v>98</v>
      </c>
      <c r="N7" s="16"/>
      <c r="O7" s="16"/>
      <c r="P7" s="16">
        <v>2</v>
      </c>
      <c r="Q7" s="16">
        <v>4</v>
      </c>
      <c r="R7" s="18">
        <f t="shared" si="2"/>
        <v>8</v>
      </c>
      <c r="S7" s="16" t="s">
        <v>246</v>
      </c>
    </row>
    <row r="8" spans="1:19" ht="150" customHeight="1" x14ac:dyDescent="0.3">
      <c r="A8" s="16" t="s">
        <v>247</v>
      </c>
      <c r="B8" s="16" t="s">
        <v>248</v>
      </c>
      <c r="C8" s="16" t="s">
        <v>249</v>
      </c>
      <c r="D8" s="16" t="s">
        <v>250</v>
      </c>
      <c r="E8" s="16" t="s">
        <v>251</v>
      </c>
      <c r="F8" s="16" t="s">
        <v>252</v>
      </c>
      <c r="G8" s="16">
        <v>5</v>
      </c>
      <c r="H8" s="16">
        <v>4</v>
      </c>
      <c r="I8" s="18">
        <f t="shared" si="0"/>
        <v>20</v>
      </c>
      <c r="J8" s="18" t="str">
        <f t="shared" si="1"/>
        <v>критичен</v>
      </c>
      <c r="K8" s="18" t="str">
        <f>IF(I8="","",IF(I8&lt;=Скали!$B$1,"да","не"))</f>
        <v>не</v>
      </c>
      <c r="L8" s="16" t="s">
        <v>213</v>
      </c>
      <c r="M8" s="16" t="s">
        <v>98</v>
      </c>
      <c r="N8" s="16"/>
      <c r="O8" s="16"/>
      <c r="P8" s="16">
        <v>2</v>
      </c>
      <c r="Q8" s="16">
        <v>4</v>
      </c>
      <c r="R8" s="18">
        <f t="shared" si="2"/>
        <v>8</v>
      </c>
      <c r="S8" s="16"/>
    </row>
    <row r="9" spans="1:19" ht="150" customHeight="1" x14ac:dyDescent="0.3">
      <c r="A9" s="16" t="s">
        <v>253</v>
      </c>
      <c r="B9" s="16" t="s">
        <v>254</v>
      </c>
      <c r="C9" s="16" t="s">
        <v>255</v>
      </c>
      <c r="D9" s="16" t="s">
        <v>256</v>
      </c>
      <c r="E9" s="16" t="s">
        <v>257</v>
      </c>
      <c r="F9" s="16" t="s">
        <v>258</v>
      </c>
      <c r="G9" s="16">
        <v>4</v>
      </c>
      <c r="H9" s="16">
        <v>3</v>
      </c>
      <c r="I9" s="18">
        <f t="shared" si="0"/>
        <v>12</v>
      </c>
      <c r="J9" s="18" t="str">
        <f t="shared" si="1"/>
        <v>висок</v>
      </c>
      <c r="K9" s="18" t="str">
        <f>IF(I9="","",IF(I9&lt;=Скали!$B$1,"да","не"))</f>
        <v>не</v>
      </c>
      <c r="L9" s="16" t="s">
        <v>213</v>
      </c>
      <c r="M9" s="16" t="s">
        <v>146</v>
      </c>
      <c r="N9" s="16"/>
      <c r="O9" s="16"/>
      <c r="P9" s="16">
        <v>2</v>
      </c>
      <c r="Q9" s="16">
        <v>3</v>
      </c>
      <c r="R9" s="18">
        <f t="shared" si="2"/>
        <v>6</v>
      </c>
      <c r="S9" s="16"/>
    </row>
    <row r="10" spans="1:19" ht="150" customHeight="1" x14ac:dyDescent="0.3">
      <c r="A10" s="16" t="s">
        <v>259</v>
      </c>
      <c r="B10" s="16" t="s">
        <v>260</v>
      </c>
      <c r="C10" s="16" t="s">
        <v>261</v>
      </c>
      <c r="D10" s="16" t="s">
        <v>262</v>
      </c>
      <c r="E10" s="16" t="s">
        <v>263</v>
      </c>
      <c r="F10" s="16" t="s">
        <v>264</v>
      </c>
      <c r="G10" s="16">
        <v>2</v>
      </c>
      <c r="H10" s="16">
        <v>5</v>
      </c>
      <c r="I10" s="18">
        <f t="shared" si="0"/>
        <v>10</v>
      </c>
      <c r="J10" s="18" t="str">
        <f t="shared" si="1"/>
        <v>висок</v>
      </c>
      <c r="K10" s="18" t="str">
        <f>IF(I10="","",IF(I10&lt;=Скали!$B$1,"да","не"))</f>
        <v>не</v>
      </c>
      <c r="L10" s="16" t="s">
        <v>213</v>
      </c>
      <c r="M10" s="16" t="s">
        <v>98</v>
      </c>
      <c r="N10" s="16"/>
      <c r="O10" s="16"/>
      <c r="P10" s="16">
        <v>2</v>
      </c>
      <c r="Q10" s="16">
        <v>3</v>
      </c>
      <c r="R10" s="18">
        <f t="shared" si="2"/>
        <v>6</v>
      </c>
      <c r="S10" s="16" t="s">
        <v>265</v>
      </c>
    </row>
    <row r="11" spans="1:19" ht="150" customHeight="1" x14ac:dyDescent="0.3">
      <c r="A11" s="16" t="s">
        <v>266</v>
      </c>
      <c r="B11" s="16" t="s">
        <v>267</v>
      </c>
      <c r="C11" s="16" t="s">
        <v>268</v>
      </c>
      <c r="D11" s="16" t="s">
        <v>269</v>
      </c>
      <c r="E11" s="16" t="s">
        <v>270</v>
      </c>
      <c r="F11" s="16" t="s">
        <v>271</v>
      </c>
      <c r="G11" s="16">
        <v>3</v>
      </c>
      <c r="H11" s="16">
        <v>5</v>
      </c>
      <c r="I11" s="18">
        <f t="shared" si="0"/>
        <v>15</v>
      </c>
      <c r="J11" s="18" t="str">
        <f t="shared" si="1"/>
        <v>висок</v>
      </c>
      <c r="K11" s="18" t="str">
        <f>IF(I11="","",IF(I11&lt;=Скали!$B$1,"да","не"))</f>
        <v>не</v>
      </c>
      <c r="L11" s="16" t="s">
        <v>213</v>
      </c>
      <c r="M11" s="16" t="s">
        <v>98</v>
      </c>
      <c r="N11" s="16"/>
      <c r="O11" s="16"/>
      <c r="P11" s="16">
        <v>2</v>
      </c>
      <c r="Q11" s="16">
        <v>4</v>
      </c>
      <c r="R11" s="18">
        <f t="shared" si="2"/>
        <v>8</v>
      </c>
      <c r="S11" s="16" t="s">
        <v>272</v>
      </c>
    </row>
    <row r="12" spans="1:19" ht="150" customHeight="1" x14ac:dyDescent="0.3">
      <c r="A12" s="16" t="s">
        <v>273</v>
      </c>
      <c r="B12" s="16" t="s">
        <v>274</v>
      </c>
      <c r="C12" s="16" t="s">
        <v>275</v>
      </c>
      <c r="D12" s="16" t="s">
        <v>276</v>
      </c>
      <c r="E12" s="16" t="s">
        <v>277</v>
      </c>
      <c r="F12" s="16" t="s">
        <v>278</v>
      </c>
      <c r="G12" s="16">
        <v>3</v>
      </c>
      <c r="H12" s="16">
        <v>4</v>
      </c>
      <c r="I12" s="18">
        <f t="shared" si="0"/>
        <v>12</v>
      </c>
      <c r="J12" s="18" t="str">
        <f t="shared" si="1"/>
        <v>висок</v>
      </c>
      <c r="K12" s="18" t="str">
        <f>IF(I12="","",IF(I12&lt;=Скали!$B$1,"да","не"))</f>
        <v>не</v>
      </c>
      <c r="L12" s="16" t="s">
        <v>213</v>
      </c>
      <c r="M12" s="16" t="s">
        <v>98</v>
      </c>
      <c r="N12" s="16"/>
      <c r="O12" s="16"/>
      <c r="P12" s="16">
        <v>2</v>
      </c>
      <c r="Q12" s="16">
        <v>4</v>
      </c>
      <c r="R12" s="18">
        <f t="shared" si="2"/>
        <v>8</v>
      </c>
      <c r="S12" s="16" t="s">
        <v>279</v>
      </c>
    </row>
    <row r="13" spans="1:19" ht="150" customHeight="1" x14ac:dyDescent="0.3">
      <c r="A13" s="16" t="s">
        <v>280</v>
      </c>
      <c r="B13" s="16" t="s">
        <v>281</v>
      </c>
      <c r="C13" s="16" t="s">
        <v>282</v>
      </c>
      <c r="D13" s="16" t="s">
        <v>283</v>
      </c>
      <c r="E13" s="16" t="s">
        <v>284</v>
      </c>
      <c r="F13" s="16" t="s">
        <v>285</v>
      </c>
      <c r="G13" s="16">
        <v>2</v>
      </c>
      <c r="H13" s="16">
        <v>4</v>
      </c>
      <c r="I13" s="18">
        <f t="shared" si="0"/>
        <v>8</v>
      </c>
      <c r="J13" s="18" t="str">
        <f t="shared" si="1"/>
        <v>умерен</v>
      </c>
      <c r="K13" s="18" t="str">
        <f>IF(I13="","",IF(I13&lt;=Скали!$B$1,"да","не"))</f>
        <v>да</v>
      </c>
      <c r="L13" s="16" t="s">
        <v>213</v>
      </c>
      <c r="M13" s="16" t="s">
        <v>98</v>
      </c>
      <c r="N13" s="16"/>
      <c r="O13" s="16"/>
      <c r="P13" s="16">
        <v>1</v>
      </c>
      <c r="Q13" s="16">
        <v>4</v>
      </c>
      <c r="R13" s="18">
        <f t="shared" si="2"/>
        <v>4</v>
      </c>
      <c r="S13" s="16" t="s">
        <v>286</v>
      </c>
    </row>
    <row r="14" spans="1:19" ht="150" customHeight="1" x14ac:dyDescent="0.3">
      <c r="A14" s="16" t="s">
        <v>287</v>
      </c>
      <c r="B14" s="16" t="s">
        <v>288</v>
      </c>
      <c r="C14" s="16" t="s">
        <v>289</v>
      </c>
      <c r="D14" s="16" t="s">
        <v>290</v>
      </c>
      <c r="E14" s="16" t="s">
        <v>291</v>
      </c>
      <c r="F14" s="16" t="s">
        <v>292</v>
      </c>
      <c r="G14" s="16">
        <v>3</v>
      </c>
      <c r="H14" s="16">
        <v>3</v>
      </c>
      <c r="I14" s="18">
        <f t="shared" si="0"/>
        <v>9</v>
      </c>
      <c r="J14" s="18" t="str">
        <f t="shared" si="1"/>
        <v>умерен</v>
      </c>
      <c r="K14" s="18" t="str">
        <f>IF(I14="","",IF(I14&lt;=Скали!$B$1,"да","не"))</f>
        <v>да</v>
      </c>
      <c r="L14" s="16" t="s">
        <v>293</v>
      </c>
      <c r="M14" s="16" t="s">
        <v>98</v>
      </c>
      <c r="N14" s="16"/>
      <c r="O14" s="16"/>
      <c r="P14" s="16">
        <v>3</v>
      </c>
      <c r="Q14" s="16">
        <v>3</v>
      </c>
      <c r="R14" s="18">
        <f t="shared" si="2"/>
        <v>9</v>
      </c>
      <c r="S14" s="16" t="s">
        <v>294</v>
      </c>
    </row>
    <row r="15" spans="1:19" ht="150" customHeight="1" x14ac:dyDescent="0.3">
      <c r="A15" s="16" t="s">
        <v>295</v>
      </c>
      <c r="B15" s="16" t="s">
        <v>296</v>
      </c>
      <c r="C15" s="16" t="s">
        <v>297</v>
      </c>
      <c r="D15" s="16" t="s">
        <v>298</v>
      </c>
      <c r="E15" s="16" t="s">
        <v>299</v>
      </c>
      <c r="F15" s="16" t="s">
        <v>300</v>
      </c>
      <c r="G15" s="16">
        <v>4</v>
      </c>
      <c r="H15" s="16">
        <v>3</v>
      </c>
      <c r="I15" s="18">
        <f t="shared" si="0"/>
        <v>12</v>
      </c>
      <c r="J15" s="18" t="str">
        <f t="shared" si="1"/>
        <v>висок</v>
      </c>
      <c r="K15" s="18" t="str">
        <f>IF(I15="","",IF(I15&lt;=Скали!$B$1,"да","не"))</f>
        <v>не</v>
      </c>
      <c r="L15" s="16" t="s">
        <v>213</v>
      </c>
      <c r="M15" s="16" t="s">
        <v>140</v>
      </c>
      <c r="N15" s="16"/>
      <c r="O15" s="16"/>
      <c r="P15" s="16">
        <v>2</v>
      </c>
      <c r="Q15" s="16">
        <v>3</v>
      </c>
      <c r="R15" s="18">
        <f t="shared" si="2"/>
        <v>6</v>
      </c>
      <c r="S15" s="16" t="s">
        <v>301</v>
      </c>
    </row>
    <row r="16" spans="1:19" ht="150" customHeight="1" x14ac:dyDescent="0.3">
      <c r="A16" s="16" t="s">
        <v>302</v>
      </c>
      <c r="B16" s="16" t="s">
        <v>222</v>
      </c>
      <c r="C16" s="16" t="s">
        <v>303</v>
      </c>
      <c r="D16" s="16" t="s">
        <v>304</v>
      </c>
      <c r="E16" s="16" t="s">
        <v>305</v>
      </c>
      <c r="F16" s="16" t="s">
        <v>306</v>
      </c>
      <c r="G16" s="16">
        <v>1</v>
      </c>
      <c r="H16" s="16">
        <v>3</v>
      </c>
      <c r="I16" s="18">
        <f t="shared" si="0"/>
        <v>3</v>
      </c>
      <c r="J16" s="18" t="str">
        <f t="shared" si="1"/>
        <v>нисък</v>
      </c>
      <c r="K16" s="18" t="str">
        <f>IF(I16="","",IF(I16&lt;=Скали!$B$1,"да","не"))</f>
        <v>да</v>
      </c>
      <c r="L16" s="16" t="s">
        <v>293</v>
      </c>
      <c r="M16" s="16" t="s">
        <v>98</v>
      </c>
      <c r="N16" s="16"/>
      <c r="O16" s="16"/>
      <c r="P16" s="16">
        <v>1</v>
      </c>
      <c r="Q16" s="16">
        <v>3</v>
      </c>
      <c r="R16" s="18">
        <f t="shared" si="2"/>
        <v>3</v>
      </c>
      <c r="S16" s="16" t="s">
        <v>307</v>
      </c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8" t="str">
        <f t="shared" si="0"/>
        <v/>
      </c>
      <c r="J17" s="18" t="str">
        <f t="shared" si="1"/>
        <v/>
      </c>
      <c r="K17" s="18" t="str">
        <f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t="shared" si="2"/>
        <v/>
      </c>
      <c r="S17" s="16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8" t="str">
        <f t="shared" si="0"/>
        <v/>
      </c>
      <c r="J18" s="18" t="str">
        <f t="shared" si="1"/>
        <v/>
      </c>
      <c r="K18" s="18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8" t="str">
        <f t="shared" si="0"/>
        <v/>
      </c>
      <c r="J19" s="18" t="str">
        <f t="shared" si="1"/>
        <v/>
      </c>
      <c r="K19" s="18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8" t="str">
        <f t="shared" si="0"/>
        <v/>
      </c>
      <c r="J20" s="18" t="str">
        <f t="shared" si="1"/>
        <v/>
      </c>
      <c r="K20" s="18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8" t="str">
        <f t="shared" si="0"/>
        <v/>
      </c>
      <c r="J21" s="18" t="str">
        <f t="shared" si="1"/>
        <v/>
      </c>
      <c r="K21" s="18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8" t="str">
        <f t="shared" si="0"/>
        <v/>
      </c>
      <c r="J22" s="18" t="str">
        <f t="shared" si="1"/>
        <v/>
      </c>
      <c r="K22" s="18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8" t="str">
        <f t="shared" si="0"/>
        <v/>
      </c>
      <c r="J23" s="18" t="str">
        <f t="shared" si="1"/>
        <v/>
      </c>
      <c r="K23" s="18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8" t="str">
        <f t="shared" si="0"/>
        <v/>
      </c>
      <c r="J24" s="18" t="str">
        <f t="shared" si="1"/>
        <v/>
      </c>
      <c r="K24" s="18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8" t="str">
        <f t="shared" si="0"/>
        <v/>
      </c>
      <c r="J25" s="18" t="str">
        <f t="shared" si="1"/>
        <v/>
      </c>
      <c r="K25" s="18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8" t="str">
        <f t="shared" si="0"/>
        <v/>
      </c>
      <c r="J26" s="18" t="str">
        <f t="shared" si="1"/>
        <v/>
      </c>
      <c r="K26" s="18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8" t="str">
        <f t="shared" si="0"/>
        <v/>
      </c>
      <c r="J27" s="18" t="str">
        <f t="shared" si="1"/>
        <v/>
      </c>
      <c r="K27" s="18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8" t="str">
        <f t="shared" si="0"/>
        <v/>
      </c>
      <c r="J28" s="18" t="str">
        <f t="shared" si="1"/>
        <v/>
      </c>
      <c r="K28" s="18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8" t="str">
        <f t="shared" si="0"/>
        <v/>
      </c>
      <c r="J29" s="18" t="str">
        <f t="shared" si="1"/>
        <v/>
      </c>
      <c r="K29" s="18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8" t="str">
        <f t="shared" si="0"/>
        <v/>
      </c>
      <c r="J30" s="18" t="str">
        <f t="shared" si="1"/>
        <v/>
      </c>
      <c r="K30" s="18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8" t="str">
        <f t="shared" si="0"/>
        <v/>
      </c>
      <c r="J31" s="18" t="str">
        <f t="shared" si="1"/>
        <v/>
      </c>
      <c r="K31" s="18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8" t="str">
        <f t="shared" si="0"/>
        <v/>
      </c>
      <c r="J32" s="18" t="str">
        <f t="shared" si="1"/>
        <v/>
      </c>
      <c r="K32" s="18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8" t="str">
        <f t="shared" si="0"/>
        <v/>
      </c>
      <c r="J33" s="18" t="str">
        <f t="shared" si="1"/>
        <v/>
      </c>
      <c r="K33" s="18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8" t="str">
        <f t="shared" si="0"/>
        <v/>
      </c>
      <c r="J34" s="18" t="str">
        <f t="shared" si="1"/>
        <v/>
      </c>
      <c r="K34" s="18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8" t="str">
        <f t="shared" si="0"/>
        <v/>
      </c>
      <c r="J35" s="18" t="str">
        <f t="shared" si="1"/>
        <v/>
      </c>
      <c r="K35" s="18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8" t="str">
        <f t="shared" si="0"/>
        <v/>
      </c>
      <c r="J36" s="18" t="str">
        <f t="shared" si="1"/>
        <v/>
      </c>
      <c r="K36" s="18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8" t="str">
        <f t="shared" si="0"/>
        <v/>
      </c>
      <c r="J37" s="18" t="str">
        <f t="shared" si="1"/>
        <v/>
      </c>
      <c r="K37" s="18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8" t="str">
        <f t="shared" si="0"/>
        <v/>
      </c>
      <c r="J38" s="18" t="str">
        <f t="shared" si="1"/>
        <v/>
      </c>
      <c r="K38" s="18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8" t="str">
        <f t="shared" si="0"/>
        <v/>
      </c>
      <c r="J39" s="18" t="str">
        <f t="shared" si="1"/>
        <v/>
      </c>
      <c r="K39" s="18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8" t="str">
        <f t="shared" si="0"/>
        <v/>
      </c>
      <c r="J40" s="18" t="str">
        <f t="shared" si="1"/>
        <v/>
      </c>
      <c r="K40" s="18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8" t="str">
        <f t="shared" si="0"/>
        <v/>
      </c>
      <c r="J41" s="18" t="str">
        <f t="shared" si="1"/>
        <v/>
      </c>
      <c r="K41" s="18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8" t="str">
        <f t="shared" si="0"/>
        <v/>
      </c>
      <c r="J42" s="18" t="str">
        <f t="shared" si="1"/>
        <v/>
      </c>
      <c r="K42" s="18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8" t="str">
        <f t="shared" si="0"/>
        <v/>
      </c>
      <c r="J43" s="18" t="str">
        <f t="shared" si="1"/>
        <v/>
      </c>
      <c r="K43" s="18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8" t="str">
        <f t="shared" si="0"/>
        <v/>
      </c>
      <c r="J44" s="18" t="str">
        <f t="shared" si="1"/>
        <v/>
      </c>
      <c r="K44" s="18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8" t="str">
        <f t="shared" si="0"/>
        <v/>
      </c>
      <c r="J45" s="18" t="str">
        <f t="shared" si="1"/>
        <v/>
      </c>
      <c r="K45" s="18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8" t="str">
        <f t="shared" si="0"/>
        <v/>
      </c>
      <c r="J46" s="18" t="str">
        <f t="shared" si="1"/>
        <v/>
      </c>
      <c r="K46" s="18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8" t="str">
        <f t="shared" si="0"/>
        <v/>
      </c>
      <c r="J47" s="18" t="str">
        <f t="shared" si="1"/>
        <v/>
      </c>
      <c r="K47" s="18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8" t="str">
        <f t="shared" si="0"/>
        <v/>
      </c>
      <c r="J48" s="18" t="str">
        <f t="shared" si="1"/>
        <v/>
      </c>
      <c r="K48" s="18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8" t="str">
        <f t="shared" si="0"/>
        <v/>
      </c>
      <c r="J49" s="18" t="str">
        <f t="shared" si="1"/>
        <v/>
      </c>
      <c r="K49" s="18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8" t="str">
        <f t="shared" si="0"/>
        <v/>
      </c>
      <c r="J50" s="18" t="str">
        <f t="shared" si="1"/>
        <v/>
      </c>
      <c r="K50" s="18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8" t="str">
        <f t="shared" si="0"/>
        <v/>
      </c>
      <c r="J51" s="18" t="str">
        <f t="shared" si="1"/>
        <v/>
      </c>
      <c r="K51" s="18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8" t="str">
        <f t="shared" si="0"/>
        <v/>
      </c>
      <c r="J52" s="18" t="str">
        <f t="shared" si="1"/>
        <v/>
      </c>
      <c r="K52" s="18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8" t="str">
        <f t="shared" si="0"/>
        <v/>
      </c>
      <c r="J53" s="18" t="str">
        <f t="shared" si="1"/>
        <v/>
      </c>
      <c r="K53" s="18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8" t="str">
        <f t="shared" si="0"/>
        <v/>
      </c>
      <c r="J54" s="18" t="str">
        <f t="shared" si="1"/>
        <v/>
      </c>
      <c r="K54" s="18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8" t="str">
        <f t="shared" si="0"/>
        <v/>
      </c>
      <c r="J55" s="18" t="str">
        <f t="shared" si="1"/>
        <v/>
      </c>
      <c r="K55" s="18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8" t="str">
        <f t="shared" si="0"/>
        <v/>
      </c>
      <c r="J56" s="18" t="str">
        <f t="shared" si="1"/>
        <v/>
      </c>
      <c r="K56" s="18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8" t="str">
        <f t="shared" si="0"/>
        <v/>
      </c>
      <c r="J57" s="18" t="str">
        <f t="shared" si="1"/>
        <v/>
      </c>
      <c r="K57" s="18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8" t="str">
        <f t="shared" si="0"/>
        <v/>
      </c>
      <c r="J58" s="18" t="str">
        <f t="shared" si="1"/>
        <v/>
      </c>
      <c r="K58" s="18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8" t="str">
        <f t="shared" si="0"/>
        <v/>
      </c>
      <c r="J59" s="18" t="str">
        <f t="shared" si="1"/>
        <v/>
      </c>
      <c r="K59" s="18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8" t="str">
        <f t="shared" si="0"/>
        <v/>
      </c>
      <c r="J60" s="18" t="str">
        <f t="shared" si="1"/>
        <v/>
      </c>
      <c r="K60" s="18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8" t="str">
        <f t="shared" si="0"/>
        <v/>
      </c>
      <c r="J61" s="18" t="str">
        <f t="shared" si="1"/>
        <v/>
      </c>
      <c r="K61" s="18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8" t="str">
        <f t="shared" si="0"/>
        <v/>
      </c>
      <c r="J62" s="18" t="str">
        <f t="shared" si="1"/>
        <v/>
      </c>
      <c r="K62" s="18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8" t="str">
        <f t="shared" si="0"/>
        <v/>
      </c>
      <c r="J63" s="18" t="str">
        <f t="shared" si="1"/>
        <v/>
      </c>
      <c r="K63" s="18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8" t="str">
        <f t="shared" si="0"/>
        <v/>
      </c>
      <c r="J64" s="18" t="str">
        <f t="shared" si="1"/>
        <v/>
      </c>
      <c r="K64" s="18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8" t="str">
        <f t="shared" si="0"/>
        <v/>
      </c>
      <c r="J65" s="18" t="str">
        <f t="shared" si="1"/>
        <v/>
      </c>
      <c r="K65" s="18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3">IF(OR(G66="",H66=""),"",G66*H66)</f>
        <v/>
      </c>
      <c r="J66" s="18" t="str">
        <f t="shared" ref="J66:J129" si="4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5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8" t="str">
        <f t="shared" si="3"/>
        <v/>
      </c>
      <c r="J67" s="18" t="str">
        <f t="shared" si="4"/>
        <v/>
      </c>
      <c r="K67" s="18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5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8" t="str">
        <f t="shared" si="3"/>
        <v/>
      </c>
      <c r="J68" s="18" t="str">
        <f t="shared" si="4"/>
        <v/>
      </c>
      <c r="K68" s="18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5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8" t="str">
        <f t="shared" si="3"/>
        <v/>
      </c>
      <c r="J69" s="18" t="str">
        <f t="shared" si="4"/>
        <v/>
      </c>
      <c r="K69" s="18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5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8" t="str">
        <f t="shared" si="3"/>
        <v/>
      </c>
      <c r="J70" s="18" t="str">
        <f t="shared" si="4"/>
        <v/>
      </c>
      <c r="K70" s="18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5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8" t="str">
        <f t="shared" si="3"/>
        <v/>
      </c>
      <c r="J71" s="18" t="str">
        <f t="shared" si="4"/>
        <v/>
      </c>
      <c r="K71" s="18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5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8" t="str">
        <f t="shared" si="3"/>
        <v/>
      </c>
      <c r="J72" s="18" t="str">
        <f t="shared" si="4"/>
        <v/>
      </c>
      <c r="K72" s="18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5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8" t="str">
        <f t="shared" si="3"/>
        <v/>
      </c>
      <c r="J73" s="18" t="str">
        <f t="shared" si="4"/>
        <v/>
      </c>
      <c r="K73" s="18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5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8" t="str">
        <f t="shared" si="3"/>
        <v/>
      </c>
      <c r="J74" s="18" t="str">
        <f t="shared" si="4"/>
        <v/>
      </c>
      <c r="K74" s="18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5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8" t="str">
        <f t="shared" si="3"/>
        <v/>
      </c>
      <c r="J75" s="18" t="str">
        <f t="shared" si="4"/>
        <v/>
      </c>
      <c r="K75" s="18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5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8" t="str">
        <f t="shared" si="3"/>
        <v/>
      </c>
      <c r="J76" s="18" t="str">
        <f t="shared" si="4"/>
        <v/>
      </c>
      <c r="K76" s="18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5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8" t="str">
        <f t="shared" si="3"/>
        <v/>
      </c>
      <c r="J77" s="18" t="str">
        <f t="shared" si="4"/>
        <v/>
      </c>
      <c r="K77" s="18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5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8" t="str">
        <f t="shared" si="3"/>
        <v/>
      </c>
      <c r="J78" s="18" t="str">
        <f t="shared" si="4"/>
        <v/>
      </c>
      <c r="K78" s="18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5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8" t="str">
        <f t="shared" si="3"/>
        <v/>
      </c>
      <c r="J79" s="18" t="str">
        <f t="shared" si="4"/>
        <v/>
      </c>
      <c r="K79" s="18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5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8" t="str">
        <f t="shared" si="3"/>
        <v/>
      </c>
      <c r="J80" s="18" t="str">
        <f t="shared" si="4"/>
        <v/>
      </c>
      <c r="K80" s="18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5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8" t="str">
        <f t="shared" si="3"/>
        <v/>
      </c>
      <c r="J81" s="18" t="str">
        <f t="shared" si="4"/>
        <v/>
      </c>
      <c r="K81" s="18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5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8" t="str">
        <f t="shared" si="3"/>
        <v/>
      </c>
      <c r="J82" s="18" t="str">
        <f t="shared" si="4"/>
        <v/>
      </c>
      <c r="K82" s="18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5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8" t="str">
        <f t="shared" si="3"/>
        <v/>
      </c>
      <c r="J83" s="18" t="str">
        <f t="shared" si="4"/>
        <v/>
      </c>
      <c r="K83" s="18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5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8" t="str">
        <f t="shared" si="3"/>
        <v/>
      </c>
      <c r="J84" s="18" t="str">
        <f t="shared" si="4"/>
        <v/>
      </c>
      <c r="K84" s="18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5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8" t="str">
        <f t="shared" si="3"/>
        <v/>
      </c>
      <c r="J85" s="18" t="str">
        <f t="shared" si="4"/>
        <v/>
      </c>
      <c r="K85" s="18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5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8" t="str">
        <f t="shared" si="3"/>
        <v/>
      </c>
      <c r="J86" s="18" t="str">
        <f t="shared" si="4"/>
        <v/>
      </c>
      <c r="K86" s="18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5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8" t="str">
        <f t="shared" si="3"/>
        <v/>
      </c>
      <c r="J87" s="18" t="str">
        <f t="shared" si="4"/>
        <v/>
      </c>
      <c r="K87" s="18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5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8" t="str">
        <f t="shared" si="3"/>
        <v/>
      </c>
      <c r="J88" s="18" t="str">
        <f t="shared" si="4"/>
        <v/>
      </c>
      <c r="K88" s="18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5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8" t="str">
        <f t="shared" si="3"/>
        <v/>
      </c>
      <c r="J89" s="18" t="str">
        <f t="shared" si="4"/>
        <v/>
      </c>
      <c r="K89" s="18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5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8" t="str">
        <f t="shared" si="3"/>
        <v/>
      </c>
      <c r="J90" s="18" t="str">
        <f t="shared" si="4"/>
        <v/>
      </c>
      <c r="K90" s="18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5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8" t="str">
        <f t="shared" si="3"/>
        <v/>
      </c>
      <c r="J91" s="18" t="str">
        <f t="shared" si="4"/>
        <v/>
      </c>
      <c r="K91" s="18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5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8" t="str">
        <f t="shared" si="3"/>
        <v/>
      </c>
      <c r="J92" s="18" t="str">
        <f t="shared" si="4"/>
        <v/>
      </c>
      <c r="K92" s="18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5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8" t="str">
        <f t="shared" si="3"/>
        <v/>
      </c>
      <c r="J93" s="18" t="str">
        <f t="shared" si="4"/>
        <v/>
      </c>
      <c r="K93" s="18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5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8" t="str">
        <f t="shared" si="3"/>
        <v/>
      </c>
      <c r="J94" s="18" t="str">
        <f t="shared" si="4"/>
        <v/>
      </c>
      <c r="K94" s="18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5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8" t="str">
        <f t="shared" si="3"/>
        <v/>
      </c>
      <c r="J95" s="18" t="str">
        <f t="shared" si="4"/>
        <v/>
      </c>
      <c r="K95" s="18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5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8" t="str">
        <f t="shared" si="3"/>
        <v/>
      </c>
      <c r="J96" s="18" t="str">
        <f t="shared" si="4"/>
        <v/>
      </c>
      <c r="K96" s="18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5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8" t="str">
        <f t="shared" si="3"/>
        <v/>
      </c>
      <c r="J97" s="18" t="str">
        <f t="shared" si="4"/>
        <v/>
      </c>
      <c r="K97" s="18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5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8" t="str">
        <f t="shared" si="3"/>
        <v/>
      </c>
      <c r="J98" s="18" t="str">
        <f t="shared" si="4"/>
        <v/>
      </c>
      <c r="K98" s="18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5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8" t="str">
        <f t="shared" si="3"/>
        <v/>
      </c>
      <c r="J99" s="18" t="str">
        <f t="shared" si="4"/>
        <v/>
      </c>
      <c r="K99" s="18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5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8" t="str">
        <f t="shared" si="3"/>
        <v/>
      </c>
      <c r="J100" s="18" t="str">
        <f t="shared" si="4"/>
        <v/>
      </c>
      <c r="K100" s="18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5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8" t="str">
        <f t="shared" si="3"/>
        <v/>
      </c>
      <c r="J101" s="18" t="str">
        <f t="shared" si="4"/>
        <v/>
      </c>
      <c r="K101" s="18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5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8" t="str">
        <f t="shared" si="3"/>
        <v/>
      </c>
      <c r="J102" s="18" t="str">
        <f t="shared" si="4"/>
        <v/>
      </c>
      <c r="K102" s="18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5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8" t="str">
        <f t="shared" si="3"/>
        <v/>
      </c>
      <c r="J103" s="18" t="str">
        <f t="shared" si="4"/>
        <v/>
      </c>
      <c r="K103" s="18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5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8" t="str">
        <f t="shared" si="3"/>
        <v/>
      </c>
      <c r="J104" s="18" t="str">
        <f t="shared" si="4"/>
        <v/>
      </c>
      <c r="K104" s="18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5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8" t="str">
        <f t="shared" si="3"/>
        <v/>
      </c>
      <c r="J105" s="18" t="str">
        <f t="shared" si="4"/>
        <v/>
      </c>
      <c r="K105" s="18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5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8" t="str">
        <f t="shared" si="3"/>
        <v/>
      </c>
      <c r="J106" s="18" t="str">
        <f t="shared" si="4"/>
        <v/>
      </c>
      <c r="K106" s="18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5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8" t="str">
        <f t="shared" si="3"/>
        <v/>
      </c>
      <c r="J107" s="18" t="str">
        <f t="shared" si="4"/>
        <v/>
      </c>
      <c r="K107" s="18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5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8" t="str">
        <f t="shared" si="3"/>
        <v/>
      </c>
      <c r="J108" s="18" t="str">
        <f t="shared" si="4"/>
        <v/>
      </c>
      <c r="K108" s="18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5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8" t="str">
        <f t="shared" si="3"/>
        <v/>
      </c>
      <c r="J109" s="18" t="str">
        <f t="shared" si="4"/>
        <v/>
      </c>
      <c r="K109" s="18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5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8" t="str">
        <f t="shared" si="3"/>
        <v/>
      </c>
      <c r="J110" s="18" t="str">
        <f t="shared" si="4"/>
        <v/>
      </c>
      <c r="K110" s="18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5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8" t="str">
        <f t="shared" si="3"/>
        <v/>
      </c>
      <c r="J111" s="18" t="str">
        <f t="shared" si="4"/>
        <v/>
      </c>
      <c r="K111" s="18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5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8" t="str">
        <f t="shared" si="3"/>
        <v/>
      </c>
      <c r="J112" s="18" t="str">
        <f t="shared" si="4"/>
        <v/>
      </c>
      <c r="K112" s="18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5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8" t="str">
        <f t="shared" si="3"/>
        <v/>
      </c>
      <c r="J113" s="18" t="str">
        <f t="shared" si="4"/>
        <v/>
      </c>
      <c r="K113" s="18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5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8" t="str">
        <f t="shared" si="3"/>
        <v/>
      </c>
      <c r="J114" s="18" t="str">
        <f t="shared" si="4"/>
        <v/>
      </c>
      <c r="K114" s="18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5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8" t="str">
        <f t="shared" si="3"/>
        <v/>
      </c>
      <c r="J115" s="18" t="str">
        <f t="shared" si="4"/>
        <v/>
      </c>
      <c r="K115" s="18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5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8" t="str">
        <f t="shared" si="3"/>
        <v/>
      </c>
      <c r="J116" s="18" t="str">
        <f t="shared" si="4"/>
        <v/>
      </c>
      <c r="K116" s="18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5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8" t="str">
        <f t="shared" si="3"/>
        <v/>
      </c>
      <c r="J117" s="18" t="str">
        <f t="shared" si="4"/>
        <v/>
      </c>
      <c r="K117" s="18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5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8" t="str">
        <f t="shared" si="3"/>
        <v/>
      </c>
      <c r="J118" s="18" t="str">
        <f t="shared" si="4"/>
        <v/>
      </c>
      <c r="K118" s="18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5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8" t="str">
        <f t="shared" si="3"/>
        <v/>
      </c>
      <c r="J119" s="18" t="str">
        <f t="shared" si="4"/>
        <v/>
      </c>
      <c r="K119" s="18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5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8" t="str">
        <f t="shared" si="3"/>
        <v/>
      </c>
      <c r="J120" s="18" t="str">
        <f t="shared" si="4"/>
        <v/>
      </c>
      <c r="K120" s="18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5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8" t="str">
        <f t="shared" si="3"/>
        <v/>
      </c>
      <c r="J121" s="18" t="str">
        <f t="shared" si="4"/>
        <v/>
      </c>
      <c r="K121" s="18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5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8" t="str">
        <f t="shared" si="3"/>
        <v/>
      </c>
      <c r="J122" s="18" t="str">
        <f t="shared" si="4"/>
        <v/>
      </c>
      <c r="K122" s="18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5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8" t="str">
        <f t="shared" si="3"/>
        <v/>
      </c>
      <c r="J123" s="18" t="str">
        <f t="shared" si="4"/>
        <v/>
      </c>
      <c r="K123" s="18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5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8" t="str">
        <f t="shared" si="3"/>
        <v/>
      </c>
      <c r="J124" s="18" t="str">
        <f t="shared" si="4"/>
        <v/>
      </c>
      <c r="K124" s="18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5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8" t="str">
        <f t="shared" si="3"/>
        <v/>
      </c>
      <c r="J125" s="18" t="str">
        <f t="shared" si="4"/>
        <v/>
      </c>
      <c r="K125" s="18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5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8" t="str">
        <f t="shared" si="3"/>
        <v/>
      </c>
      <c r="J126" s="18" t="str">
        <f t="shared" si="4"/>
        <v/>
      </c>
      <c r="K126" s="18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5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8" t="str">
        <f t="shared" si="3"/>
        <v/>
      </c>
      <c r="J127" s="18" t="str">
        <f t="shared" si="4"/>
        <v/>
      </c>
      <c r="K127" s="18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5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8" t="str">
        <f t="shared" si="3"/>
        <v/>
      </c>
      <c r="J128" s="18" t="str">
        <f t="shared" si="4"/>
        <v/>
      </c>
      <c r="K128" s="18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5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8" t="str">
        <f t="shared" si="3"/>
        <v/>
      </c>
      <c r="J129" s="18" t="str">
        <f t="shared" si="4"/>
        <v/>
      </c>
      <c r="K129" s="18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5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6">IF(OR(G130="",H130=""),"",G130*H130)</f>
        <v/>
      </c>
      <c r="J130" s="18" t="str">
        <f t="shared" ref="J130:J193" si="7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8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8" t="str">
        <f t="shared" si="6"/>
        <v/>
      </c>
      <c r="J131" s="18" t="str">
        <f t="shared" si="7"/>
        <v/>
      </c>
      <c r="K131" s="18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8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8" t="str">
        <f t="shared" si="6"/>
        <v/>
      </c>
      <c r="J132" s="18" t="str">
        <f t="shared" si="7"/>
        <v/>
      </c>
      <c r="K132" s="18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8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8" t="str">
        <f t="shared" si="6"/>
        <v/>
      </c>
      <c r="J133" s="18" t="str">
        <f t="shared" si="7"/>
        <v/>
      </c>
      <c r="K133" s="18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8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8" t="str">
        <f t="shared" si="6"/>
        <v/>
      </c>
      <c r="J134" s="18" t="str">
        <f t="shared" si="7"/>
        <v/>
      </c>
      <c r="K134" s="18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8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8" t="str">
        <f t="shared" si="6"/>
        <v/>
      </c>
      <c r="J135" s="18" t="str">
        <f t="shared" si="7"/>
        <v/>
      </c>
      <c r="K135" s="18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8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8" t="str">
        <f t="shared" si="6"/>
        <v/>
      </c>
      <c r="J136" s="18" t="str">
        <f t="shared" si="7"/>
        <v/>
      </c>
      <c r="K136" s="18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8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8" t="str">
        <f t="shared" si="6"/>
        <v/>
      </c>
      <c r="J137" s="18" t="str">
        <f t="shared" si="7"/>
        <v/>
      </c>
      <c r="K137" s="18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8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8" t="str">
        <f t="shared" si="6"/>
        <v/>
      </c>
      <c r="J138" s="18" t="str">
        <f t="shared" si="7"/>
        <v/>
      </c>
      <c r="K138" s="18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8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8" t="str">
        <f t="shared" si="6"/>
        <v/>
      </c>
      <c r="J139" s="18" t="str">
        <f t="shared" si="7"/>
        <v/>
      </c>
      <c r="K139" s="18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8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8" t="str">
        <f t="shared" si="6"/>
        <v/>
      </c>
      <c r="J140" s="18" t="str">
        <f t="shared" si="7"/>
        <v/>
      </c>
      <c r="K140" s="18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8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8" t="str">
        <f t="shared" si="6"/>
        <v/>
      </c>
      <c r="J141" s="18" t="str">
        <f t="shared" si="7"/>
        <v/>
      </c>
      <c r="K141" s="18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8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8" t="str">
        <f t="shared" si="6"/>
        <v/>
      </c>
      <c r="J142" s="18" t="str">
        <f t="shared" si="7"/>
        <v/>
      </c>
      <c r="K142" s="18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8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8" t="str">
        <f t="shared" si="6"/>
        <v/>
      </c>
      <c r="J143" s="18" t="str">
        <f t="shared" si="7"/>
        <v/>
      </c>
      <c r="K143" s="18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8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8" t="str">
        <f t="shared" si="6"/>
        <v/>
      </c>
      <c r="J144" s="18" t="str">
        <f t="shared" si="7"/>
        <v/>
      </c>
      <c r="K144" s="18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8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8" t="str">
        <f t="shared" si="6"/>
        <v/>
      </c>
      <c r="J145" s="18" t="str">
        <f t="shared" si="7"/>
        <v/>
      </c>
      <c r="K145" s="18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8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8" t="str">
        <f t="shared" si="6"/>
        <v/>
      </c>
      <c r="J146" s="18" t="str">
        <f t="shared" si="7"/>
        <v/>
      </c>
      <c r="K146" s="18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8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8" t="str">
        <f t="shared" si="6"/>
        <v/>
      </c>
      <c r="J147" s="18" t="str">
        <f t="shared" si="7"/>
        <v/>
      </c>
      <c r="K147" s="18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8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8" t="str">
        <f t="shared" si="6"/>
        <v/>
      </c>
      <c r="J148" s="18" t="str">
        <f t="shared" si="7"/>
        <v/>
      </c>
      <c r="K148" s="18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8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8" t="str">
        <f t="shared" si="6"/>
        <v/>
      </c>
      <c r="J149" s="18" t="str">
        <f t="shared" si="7"/>
        <v/>
      </c>
      <c r="K149" s="18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8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8" t="str">
        <f t="shared" si="6"/>
        <v/>
      </c>
      <c r="J150" s="18" t="str">
        <f t="shared" si="7"/>
        <v/>
      </c>
      <c r="K150" s="18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8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8" t="str">
        <f t="shared" si="6"/>
        <v/>
      </c>
      <c r="J151" s="18" t="str">
        <f t="shared" si="7"/>
        <v/>
      </c>
      <c r="K151" s="18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8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8" t="str">
        <f t="shared" si="6"/>
        <v/>
      </c>
      <c r="J152" s="18" t="str">
        <f t="shared" si="7"/>
        <v/>
      </c>
      <c r="K152" s="18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8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8" t="str">
        <f t="shared" si="6"/>
        <v/>
      </c>
      <c r="J153" s="18" t="str">
        <f t="shared" si="7"/>
        <v/>
      </c>
      <c r="K153" s="18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8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8" t="str">
        <f t="shared" si="6"/>
        <v/>
      </c>
      <c r="J154" s="18" t="str">
        <f t="shared" si="7"/>
        <v/>
      </c>
      <c r="K154" s="18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8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8" t="str">
        <f t="shared" si="6"/>
        <v/>
      </c>
      <c r="J155" s="18" t="str">
        <f t="shared" si="7"/>
        <v/>
      </c>
      <c r="K155" s="18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8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8" t="str">
        <f t="shared" si="6"/>
        <v/>
      </c>
      <c r="J156" s="18" t="str">
        <f t="shared" si="7"/>
        <v/>
      </c>
      <c r="K156" s="18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8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8" t="str">
        <f t="shared" si="6"/>
        <v/>
      </c>
      <c r="J157" s="18" t="str">
        <f t="shared" si="7"/>
        <v/>
      </c>
      <c r="K157" s="18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8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8" t="str">
        <f t="shared" si="6"/>
        <v/>
      </c>
      <c r="J158" s="18" t="str">
        <f t="shared" si="7"/>
        <v/>
      </c>
      <c r="K158" s="18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8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8" t="str">
        <f t="shared" si="6"/>
        <v/>
      </c>
      <c r="J159" s="18" t="str">
        <f t="shared" si="7"/>
        <v/>
      </c>
      <c r="K159" s="18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8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8" t="str">
        <f t="shared" si="6"/>
        <v/>
      </c>
      <c r="J160" s="18" t="str">
        <f t="shared" si="7"/>
        <v/>
      </c>
      <c r="K160" s="18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8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8" t="str">
        <f t="shared" si="6"/>
        <v/>
      </c>
      <c r="J161" s="18" t="str">
        <f t="shared" si="7"/>
        <v/>
      </c>
      <c r="K161" s="18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8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8" t="str">
        <f t="shared" si="6"/>
        <v/>
      </c>
      <c r="J162" s="18" t="str">
        <f t="shared" si="7"/>
        <v/>
      </c>
      <c r="K162" s="18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8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8" t="str">
        <f t="shared" si="6"/>
        <v/>
      </c>
      <c r="J163" s="18" t="str">
        <f t="shared" si="7"/>
        <v/>
      </c>
      <c r="K163" s="18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8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8" t="str">
        <f t="shared" si="6"/>
        <v/>
      </c>
      <c r="J164" s="18" t="str">
        <f t="shared" si="7"/>
        <v/>
      </c>
      <c r="K164" s="18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8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8" t="str">
        <f t="shared" si="6"/>
        <v/>
      </c>
      <c r="J165" s="18" t="str">
        <f t="shared" si="7"/>
        <v/>
      </c>
      <c r="K165" s="18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8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8" t="str">
        <f t="shared" si="6"/>
        <v/>
      </c>
      <c r="J166" s="18" t="str">
        <f t="shared" si="7"/>
        <v/>
      </c>
      <c r="K166" s="18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8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8" t="str">
        <f t="shared" si="6"/>
        <v/>
      </c>
      <c r="J167" s="18" t="str">
        <f t="shared" si="7"/>
        <v/>
      </c>
      <c r="K167" s="18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8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8" t="str">
        <f t="shared" si="6"/>
        <v/>
      </c>
      <c r="J168" s="18" t="str">
        <f t="shared" si="7"/>
        <v/>
      </c>
      <c r="K168" s="18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8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8" t="str">
        <f t="shared" si="6"/>
        <v/>
      </c>
      <c r="J169" s="18" t="str">
        <f t="shared" si="7"/>
        <v/>
      </c>
      <c r="K169" s="18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8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8" t="str">
        <f t="shared" si="6"/>
        <v/>
      </c>
      <c r="J170" s="18" t="str">
        <f t="shared" si="7"/>
        <v/>
      </c>
      <c r="K170" s="18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8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8" t="str">
        <f t="shared" si="6"/>
        <v/>
      </c>
      <c r="J171" s="18" t="str">
        <f t="shared" si="7"/>
        <v/>
      </c>
      <c r="K171" s="18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8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8" t="str">
        <f t="shared" si="6"/>
        <v/>
      </c>
      <c r="J172" s="18" t="str">
        <f t="shared" si="7"/>
        <v/>
      </c>
      <c r="K172" s="18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8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8" t="str">
        <f t="shared" si="6"/>
        <v/>
      </c>
      <c r="J173" s="18" t="str">
        <f t="shared" si="7"/>
        <v/>
      </c>
      <c r="K173" s="18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8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8" t="str">
        <f t="shared" si="6"/>
        <v/>
      </c>
      <c r="J174" s="18" t="str">
        <f t="shared" si="7"/>
        <v/>
      </c>
      <c r="K174" s="18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8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8" t="str">
        <f t="shared" si="6"/>
        <v/>
      </c>
      <c r="J175" s="18" t="str">
        <f t="shared" si="7"/>
        <v/>
      </c>
      <c r="K175" s="18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8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8" t="str">
        <f t="shared" si="6"/>
        <v/>
      </c>
      <c r="J176" s="18" t="str">
        <f t="shared" si="7"/>
        <v/>
      </c>
      <c r="K176" s="18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8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8" t="str">
        <f t="shared" si="6"/>
        <v/>
      </c>
      <c r="J177" s="18" t="str">
        <f t="shared" si="7"/>
        <v/>
      </c>
      <c r="K177" s="18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8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8" t="str">
        <f t="shared" si="6"/>
        <v/>
      </c>
      <c r="J178" s="18" t="str">
        <f t="shared" si="7"/>
        <v/>
      </c>
      <c r="K178" s="18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8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8" t="str">
        <f t="shared" si="6"/>
        <v/>
      </c>
      <c r="J179" s="18" t="str">
        <f t="shared" si="7"/>
        <v/>
      </c>
      <c r="K179" s="18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8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8" t="str">
        <f t="shared" si="6"/>
        <v/>
      </c>
      <c r="J180" s="18" t="str">
        <f t="shared" si="7"/>
        <v/>
      </c>
      <c r="K180" s="18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8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8" t="str">
        <f t="shared" si="6"/>
        <v/>
      </c>
      <c r="J181" s="18" t="str">
        <f t="shared" si="7"/>
        <v/>
      </c>
      <c r="K181" s="18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8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8" t="str">
        <f t="shared" si="6"/>
        <v/>
      </c>
      <c r="J182" s="18" t="str">
        <f t="shared" si="7"/>
        <v/>
      </c>
      <c r="K182" s="18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8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8" t="str">
        <f t="shared" si="6"/>
        <v/>
      </c>
      <c r="J183" s="18" t="str">
        <f t="shared" si="7"/>
        <v/>
      </c>
      <c r="K183" s="18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8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8" t="str">
        <f t="shared" si="6"/>
        <v/>
      </c>
      <c r="J184" s="18" t="str">
        <f t="shared" si="7"/>
        <v/>
      </c>
      <c r="K184" s="18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8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8" t="str">
        <f t="shared" si="6"/>
        <v/>
      </c>
      <c r="J185" s="18" t="str">
        <f t="shared" si="7"/>
        <v/>
      </c>
      <c r="K185" s="18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8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8" t="str">
        <f t="shared" si="6"/>
        <v/>
      </c>
      <c r="J186" s="18" t="str">
        <f t="shared" si="7"/>
        <v/>
      </c>
      <c r="K186" s="18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8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8" t="str">
        <f t="shared" si="6"/>
        <v/>
      </c>
      <c r="J187" s="18" t="str">
        <f t="shared" si="7"/>
        <v/>
      </c>
      <c r="K187" s="18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8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8" t="str">
        <f t="shared" si="6"/>
        <v/>
      </c>
      <c r="J188" s="18" t="str">
        <f t="shared" si="7"/>
        <v/>
      </c>
      <c r="K188" s="18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8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8" t="str">
        <f t="shared" si="6"/>
        <v/>
      </c>
      <c r="J189" s="18" t="str">
        <f t="shared" si="7"/>
        <v/>
      </c>
      <c r="K189" s="18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8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8" t="str">
        <f t="shared" si="6"/>
        <v/>
      </c>
      <c r="J190" s="18" t="str">
        <f t="shared" si="7"/>
        <v/>
      </c>
      <c r="K190" s="18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8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8" t="str">
        <f t="shared" si="6"/>
        <v/>
      </c>
      <c r="J191" s="18" t="str">
        <f t="shared" si="7"/>
        <v/>
      </c>
      <c r="K191" s="18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8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8" t="str">
        <f t="shared" si="6"/>
        <v/>
      </c>
      <c r="J192" s="18" t="str">
        <f t="shared" si="7"/>
        <v/>
      </c>
      <c r="K192" s="18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8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8" t="str">
        <f t="shared" si="6"/>
        <v/>
      </c>
      <c r="J193" s="18" t="str">
        <f t="shared" si="7"/>
        <v/>
      </c>
      <c r="K193" s="18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8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10" si="9">IF(OR(G194="",H194=""),"",G194*H194)</f>
        <v/>
      </c>
      <c r="J194" s="18" t="str">
        <f t="shared" ref="J194:J210" si="10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10" si="11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8" t="str">
        <f t="shared" si="9"/>
        <v/>
      </c>
      <c r="J195" s="18" t="str">
        <f t="shared" si="10"/>
        <v/>
      </c>
      <c r="K195" s="18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1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8" t="str">
        <f t="shared" si="9"/>
        <v/>
      </c>
      <c r="J196" s="18" t="str">
        <f t="shared" si="10"/>
        <v/>
      </c>
      <c r="K196" s="18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1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8" t="str">
        <f t="shared" si="9"/>
        <v/>
      </c>
      <c r="J197" s="18" t="str">
        <f t="shared" si="10"/>
        <v/>
      </c>
      <c r="K197" s="18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1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8" t="str">
        <f t="shared" si="9"/>
        <v/>
      </c>
      <c r="J198" s="18" t="str">
        <f t="shared" si="10"/>
        <v/>
      </c>
      <c r="K198" s="18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1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8" t="str">
        <f t="shared" si="9"/>
        <v/>
      </c>
      <c r="J199" s="18" t="str">
        <f t="shared" si="10"/>
        <v/>
      </c>
      <c r="K199" s="18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1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8" t="str">
        <f t="shared" si="9"/>
        <v/>
      </c>
      <c r="J200" s="18" t="str">
        <f t="shared" si="10"/>
        <v/>
      </c>
      <c r="K200" s="18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1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8" t="str">
        <f t="shared" si="9"/>
        <v/>
      </c>
      <c r="J201" s="18" t="str">
        <f t="shared" si="10"/>
        <v/>
      </c>
      <c r="K201" s="18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1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8" t="str">
        <f t="shared" si="9"/>
        <v/>
      </c>
      <c r="J202" s="18" t="str">
        <f t="shared" si="10"/>
        <v/>
      </c>
      <c r="K202" s="18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1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8" t="str">
        <f t="shared" si="9"/>
        <v/>
      </c>
      <c r="J203" s="18" t="str">
        <f t="shared" si="10"/>
        <v/>
      </c>
      <c r="K203" s="18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1"/>
        <v/>
      </c>
      <c r="S203" s="16"/>
    </row>
    <row r="204" spans="1:19" x14ac:dyDescent="0.3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 x14ac:dyDescent="0.3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 x14ac:dyDescent="0.3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 x14ac:dyDescent="0.3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 x14ac:dyDescent="0.3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 x14ac:dyDescent="0.3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 x14ac:dyDescent="0.3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2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2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2:H210 P2:Q210" xr:uid="{00000000-0002-0000-0300-000000000000}">
      <formula1>"1,2,3,4,5"</formula1>
      <formula2>0</formula2>
    </dataValidation>
    <dataValidation type="list" allowBlank="1" sqref="L2:L210" xr:uid="{00000000-0002-0000-0300-000001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topLeftCell="C1" zoomScaleNormal="100" workbookViewId="0">
      <pane ySplit="1" topLeftCell="A6" activePane="bottomLeft" state="frozen"/>
      <selection pane="bottomLeft" activeCell="O3" sqref="O2:O3"/>
    </sheetView>
  </sheetViews>
  <sheetFormatPr defaultColWidth="8.6640625" defaultRowHeight="14.4" x14ac:dyDescent="0.3"/>
  <cols>
    <col min="1" max="1" width="8" customWidth="1"/>
    <col min="2" max="2" width="12" customWidth="1"/>
    <col min="3" max="3" width="36" customWidth="1"/>
    <col min="4" max="4" width="13" customWidth="1"/>
    <col min="5" max="5" width="18" customWidth="1"/>
    <col min="6" max="6" width="60" customWidth="1"/>
    <col min="7" max="7" width="20" customWidth="1"/>
    <col min="8" max="8" width="24" customWidth="1"/>
    <col min="9" max="11" width="2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190</v>
      </c>
      <c r="B1" s="15" t="s">
        <v>308</v>
      </c>
      <c r="C1" s="15" t="s">
        <v>309</v>
      </c>
      <c r="D1" s="15" t="s">
        <v>310</v>
      </c>
      <c r="E1" s="15" t="s">
        <v>311</v>
      </c>
      <c r="F1" s="15" t="s">
        <v>312</v>
      </c>
      <c r="G1" s="15" t="s">
        <v>313</v>
      </c>
      <c r="H1" s="15" t="s">
        <v>200</v>
      </c>
      <c r="I1" s="15" t="s">
        <v>201</v>
      </c>
      <c r="J1" s="15" t="s">
        <v>314</v>
      </c>
      <c r="K1" s="15" t="s">
        <v>315</v>
      </c>
      <c r="L1" s="15" t="s">
        <v>316</v>
      </c>
      <c r="M1" s="15" t="s">
        <v>317</v>
      </c>
      <c r="N1" s="15" t="s">
        <v>205</v>
      </c>
      <c r="O1" s="15" t="s">
        <v>318</v>
      </c>
    </row>
    <row r="2" spans="1:15" ht="120" customHeight="1" x14ac:dyDescent="0.3">
      <c r="A2" s="16" t="s">
        <v>207</v>
      </c>
      <c r="B2" s="16" t="s">
        <v>131</v>
      </c>
      <c r="C2" s="16" t="s">
        <v>319</v>
      </c>
      <c r="D2" s="18">
        <f>IFERROR(INDEX('Регистър на риска'!$I:$I,MATCH(A2,'Регистър на риска'!$A:$A,0)),"")</f>
        <v>15</v>
      </c>
      <c r="E2" s="16" t="s">
        <v>213</v>
      </c>
      <c r="F2" s="16" t="s">
        <v>320</v>
      </c>
      <c r="G2" s="16" t="s">
        <v>321</v>
      </c>
      <c r="H2" s="16" t="s">
        <v>98</v>
      </c>
      <c r="I2" s="16"/>
      <c r="J2" s="16"/>
      <c r="K2" s="16" t="s">
        <v>322</v>
      </c>
      <c r="L2" s="16">
        <v>3</v>
      </c>
      <c r="M2" s="16">
        <v>3</v>
      </c>
      <c r="N2" s="18">
        <f t="shared" ref="N2:N65" si="0">IF(OR(L2="",M2=""),"",L2*M2)</f>
        <v>9</v>
      </c>
      <c r="O2" s="16"/>
    </row>
    <row r="3" spans="1:15" ht="120" customHeight="1" x14ac:dyDescent="0.3">
      <c r="A3" s="16" t="s">
        <v>215</v>
      </c>
      <c r="B3" s="16" t="s">
        <v>144</v>
      </c>
      <c r="C3" s="16" t="s">
        <v>323</v>
      </c>
      <c r="D3" s="18">
        <f>IFERROR(INDEX('Регистър на риска'!$I:$I,MATCH(A3,'Регистър на риска'!$A:$A,0)),"")</f>
        <v>20</v>
      </c>
      <c r="E3" s="16" t="s">
        <v>213</v>
      </c>
      <c r="F3" s="16" t="s">
        <v>324</v>
      </c>
      <c r="G3" s="16" t="s">
        <v>325</v>
      </c>
      <c r="H3" s="16" t="s">
        <v>98</v>
      </c>
      <c r="I3" s="16"/>
      <c r="J3" s="16"/>
      <c r="K3" s="16" t="s">
        <v>322</v>
      </c>
      <c r="L3" s="16">
        <v>2</v>
      </c>
      <c r="M3" s="16">
        <v>4</v>
      </c>
      <c r="N3" s="18">
        <f t="shared" si="0"/>
        <v>8</v>
      </c>
      <c r="O3" s="16"/>
    </row>
    <row r="4" spans="1:15" ht="120" customHeight="1" x14ac:dyDescent="0.3">
      <c r="A4" s="16" t="s">
        <v>221</v>
      </c>
      <c r="B4" s="16" t="s">
        <v>95</v>
      </c>
      <c r="C4" s="16" t="s">
        <v>326</v>
      </c>
      <c r="D4" s="18">
        <f>IFERROR(INDEX('Регистър на риска'!$I:$I,MATCH(A4,'Регистър на риска'!$A:$A,0)),"")</f>
        <v>16</v>
      </c>
      <c r="E4" s="16" t="s">
        <v>213</v>
      </c>
      <c r="F4" s="16" t="s">
        <v>327</v>
      </c>
      <c r="G4" s="16" t="s">
        <v>328</v>
      </c>
      <c r="H4" s="16" t="s">
        <v>98</v>
      </c>
      <c r="I4" s="16"/>
      <c r="J4" s="16"/>
      <c r="K4" s="16" t="s">
        <v>322</v>
      </c>
      <c r="L4" s="16">
        <v>2</v>
      </c>
      <c r="M4" s="16">
        <v>4</v>
      </c>
      <c r="N4" s="18">
        <f t="shared" si="0"/>
        <v>8</v>
      </c>
      <c r="O4" s="16"/>
    </row>
    <row r="5" spans="1:15" ht="120" customHeight="1" x14ac:dyDescent="0.3">
      <c r="A5" s="16" t="s">
        <v>227</v>
      </c>
      <c r="B5" s="16" t="s">
        <v>111</v>
      </c>
      <c r="C5" s="16" t="s">
        <v>329</v>
      </c>
      <c r="D5" s="18">
        <f>IFERROR(INDEX('Регистър на риска'!$I:$I,MATCH(A5,'Регистър на риска'!$A:$A,0)),"")</f>
        <v>12</v>
      </c>
      <c r="E5" s="16" t="s">
        <v>213</v>
      </c>
      <c r="F5" s="16" t="s">
        <v>330</v>
      </c>
      <c r="G5" s="16" t="s">
        <v>331</v>
      </c>
      <c r="H5" s="16" t="s">
        <v>98</v>
      </c>
      <c r="I5" s="16"/>
      <c r="J5" s="16"/>
      <c r="K5" s="16" t="s">
        <v>322</v>
      </c>
      <c r="L5" s="16">
        <v>2</v>
      </c>
      <c r="M5" s="16">
        <v>4</v>
      </c>
      <c r="N5" s="18">
        <f t="shared" si="0"/>
        <v>8</v>
      </c>
      <c r="O5" s="16"/>
    </row>
    <row r="6" spans="1:15" ht="120" customHeight="1" x14ac:dyDescent="0.3">
      <c r="A6" s="16" t="s">
        <v>234</v>
      </c>
      <c r="B6" s="16" t="s">
        <v>117</v>
      </c>
      <c r="C6" s="16" t="s">
        <v>332</v>
      </c>
      <c r="D6" s="18">
        <f>IFERROR(INDEX('Регистър на риска'!$I:$I,MATCH(A6,'Регистър на риска'!$A:$A,0)),"")</f>
        <v>10</v>
      </c>
      <c r="E6" s="16" t="s">
        <v>213</v>
      </c>
      <c r="F6" s="16" t="s">
        <v>333</v>
      </c>
      <c r="G6" s="16" t="s">
        <v>334</v>
      </c>
      <c r="H6" s="16" t="s">
        <v>120</v>
      </c>
      <c r="I6" s="16"/>
      <c r="J6" s="16"/>
      <c r="K6" s="16" t="s">
        <v>322</v>
      </c>
      <c r="L6" s="16">
        <v>2</v>
      </c>
      <c r="M6" s="16">
        <v>4</v>
      </c>
      <c r="N6" s="18">
        <f t="shared" si="0"/>
        <v>8</v>
      </c>
      <c r="O6" s="16"/>
    </row>
    <row r="7" spans="1:15" ht="120" customHeight="1" x14ac:dyDescent="0.3">
      <c r="A7" s="16" t="s">
        <v>241</v>
      </c>
      <c r="B7" s="16" t="s">
        <v>117</v>
      </c>
      <c r="C7" s="16" t="s">
        <v>335</v>
      </c>
      <c r="D7" s="18">
        <f>IFERROR(INDEX('Регистър на риска'!$I:$I,MATCH(A7,'Регистър на риска'!$A:$A,0)),"")</f>
        <v>15</v>
      </c>
      <c r="E7" s="16" t="s">
        <v>213</v>
      </c>
      <c r="F7" s="16" t="s">
        <v>336</v>
      </c>
      <c r="G7" s="16" t="s">
        <v>337</v>
      </c>
      <c r="H7" s="16" t="s">
        <v>98</v>
      </c>
      <c r="I7" s="16"/>
      <c r="J7" s="16"/>
      <c r="K7" s="16" t="s">
        <v>322</v>
      </c>
      <c r="L7" s="16">
        <v>2</v>
      </c>
      <c r="M7" s="16">
        <v>4</v>
      </c>
      <c r="N7" s="18">
        <f t="shared" si="0"/>
        <v>8</v>
      </c>
      <c r="O7" s="16"/>
    </row>
    <row r="8" spans="1:15" ht="120" customHeight="1" x14ac:dyDescent="0.3">
      <c r="A8" s="16" t="s">
        <v>247</v>
      </c>
      <c r="B8" s="16" t="s">
        <v>150</v>
      </c>
      <c r="C8" s="16" t="s">
        <v>338</v>
      </c>
      <c r="D8" s="18">
        <f>IFERROR(INDEX('Регистър на риска'!$I:$I,MATCH(A8,'Регистър на риска'!$A:$A,0)),"")</f>
        <v>20</v>
      </c>
      <c r="E8" s="16" t="s">
        <v>213</v>
      </c>
      <c r="F8" s="16" t="s">
        <v>339</v>
      </c>
      <c r="G8" s="16" t="s">
        <v>340</v>
      </c>
      <c r="H8" s="16" t="s">
        <v>98</v>
      </c>
      <c r="I8" s="16"/>
      <c r="J8" s="16"/>
      <c r="K8" s="16" t="s">
        <v>322</v>
      </c>
      <c r="L8" s="16">
        <v>2</v>
      </c>
      <c r="M8" s="16">
        <v>4</v>
      </c>
      <c r="N8" s="18">
        <f t="shared" si="0"/>
        <v>8</v>
      </c>
      <c r="O8" s="16"/>
    </row>
    <row r="9" spans="1:15" ht="120" customHeight="1" x14ac:dyDescent="0.3">
      <c r="A9" s="16" t="s">
        <v>253</v>
      </c>
      <c r="B9" s="16" t="s">
        <v>155</v>
      </c>
      <c r="C9" s="16" t="s">
        <v>341</v>
      </c>
      <c r="D9" s="18">
        <f>IFERROR(INDEX('Регистър на риска'!$I:$I,MATCH(A9,'Регистър на риска'!$A:$A,0)),"")</f>
        <v>12</v>
      </c>
      <c r="E9" s="16" t="s">
        <v>213</v>
      </c>
      <c r="F9" s="16" t="s">
        <v>342</v>
      </c>
      <c r="G9" s="16" t="s">
        <v>343</v>
      </c>
      <c r="H9" s="16" t="s">
        <v>146</v>
      </c>
      <c r="I9" s="16"/>
      <c r="J9" s="16"/>
      <c r="K9" s="16" t="s">
        <v>322</v>
      </c>
      <c r="L9" s="16">
        <v>2</v>
      </c>
      <c r="M9" s="16">
        <v>3</v>
      </c>
      <c r="N9" s="18">
        <f t="shared" si="0"/>
        <v>6</v>
      </c>
      <c r="O9" s="16"/>
    </row>
    <row r="10" spans="1:15" ht="120" customHeight="1" x14ac:dyDescent="0.3">
      <c r="A10" s="16" t="s">
        <v>259</v>
      </c>
      <c r="B10" s="16" t="s">
        <v>160</v>
      </c>
      <c r="C10" s="16" t="s">
        <v>344</v>
      </c>
      <c r="D10" s="18">
        <f>IFERROR(INDEX('Регистър на риска'!$I:$I,MATCH(A10,'Регистър на риска'!$A:$A,0)),"")</f>
        <v>10</v>
      </c>
      <c r="E10" s="16" t="s">
        <v>213</v>
      </c>
      <c r="F10" s="16" t="s">
        <v>345</v>
      </c>
      <c r="G10" s="16" t="s">
        <v>346</v>
      </c>
      <c r="H10" s="16" t="s">
        <v>98</v>
      </c>
      <c r="I10" s="16"/>
      <c r="J10" s="16"/>
      <c r="K10" s="16" t="s">
        <v>322</v>
      </c>
      <c r="L10" s="16">
        <v>2</v>
      </c>
      <c r="M10" s="16">
        <v>3</v>
      </c>
      <c r="N10" s="18">
        <f t="shared" si="0"/>
        <v>6</v>
      </c>
      <c r="O10" s="16"/>
    </row>
    <row r="11" spans="1:15" ht="120" customHeight="1" x14ac:dyDescent="0.3">
      <c r="A11" s="16" t="s">
        <v>266</v>
      </c>
      <c r="B11" s="16" t="s">
        <v>174</v>
      </c>
      <c r="C11" s="16" t="s">
        <v>347</v>
      </c>
      <c r="D11" s="18">
        <f>IFERROR(INDEX('Регистър на риска'!$I:$I,MATCH(A11,'Регистър на риска'!$A:$A,0)),"")</f>
        <v>15</v>
      </c>
      <c r="E11" s="16" t="s">
        <v>213</v>
      </c>
      <c r="F11" s="16" t="s">
        <v>348</v>
      </c>
      <c r="G11" s="16" t="s">
        <v>349</v>
      </c>
      <c r="H11" s="16" t="s">
        <v>98</v>
      </c>
      <c r="I11" s="16"/>
      <c r="J11" s="16"/>
      <c r="K11" s="16" t="s">
        <v>322</v>
      </c>
      <c r="L11" s="16">
        <v>2</v>
      </c>
      <c r="M11" s="16">
        <v>4</v>
      </c>
      <c r="N11" s="18">
        <f t="shared" si="0"/>
        <v>8</v>
      </c>
      <c r="O11" s="16"/>
    </row>
    <row r="12" spans="1:15" ht="120" customHeight="1" x14ac:dyDescent="0.3">
      <c r="A12" s="16" t="s">
        <v>273</v>
      </c>
      <c r="B12" s="16" t="s">
        <v>125</v>
      </c>
      <c r="C12" s="16" t="s">
        <v>350</v>
      </c>
      <c r="D12" s="18">
        <f>IFERROR(INDEX('Регистър на риска'!$I:$I,MATCH(A12,'Регистър на риска'!$A:$A,0)),"")</f>
        <v>12</v>
      </c>
      <c r="E12" s="16" t="s">
        <v>213</v>
      </c>
      <c r="F12" s="16" t="s">
        <v>351</v>
      </c>
      <c r="G12" s="16" t="s">
        <v>352</v>
      </c>
      <c r="H12" s="16" t="s">
        <v>98</v>
      </c>
      <c r="I12" s="16"/>
      <c r="J12" s="16"/>
      <c r="K12" s="16" t="s">
        <v>322</v>
      </c>
      <c r="L12" s="16">
        <v>2</v>
      </c>
      <c r="M12" s="16">
        <v>4</v>
      </c>
      <c r="N12" s="18">
        <f t="shared" si="0"/>
        <v>8</v>
      </c>
      <c r="O12" s="16"/>
    </row>
    <row r="13" spans="1:15" ht="120" customHeight="1" x14ac:dyDescent="0.3">
      <c r="A13" s="16" t="s">
        <v>280</v>
      </c>
      <c r="B13" s="16" t="s">
        <v>104</v>
      </c>
      <c r="C13" s="16" t="s">
        <v>353</v>
      </c>
      <c r="D13" s="18">
        <f>IFERROR(INDEX('Регистър на риска'!$I:$I,MATCH(A13,'Регистър на риска'!$A:$A,0)),"")</f>
        <v>8</v>
      </c>
      <c r="E13" s="16" t="s">
        <v>213</v>
      </c>
      <c r="F13" s="16" t="s">
        <v>354</v>
      </c>
      <c r="G13" s="16" t="s">
        <v>355</v>
      </c>
      <c r="H13" s="16" t="s">
        <v>98</v>
      </c>
      <c r="I13" s="16"/>
      <c r="J13" s="16"/>
      <c r="K13" s="16" t="s">
        <v>322</v>
      </c>
      <c r="L13" s="16">
        <v>1</v>
      </c>
      <c r="M13" s="16">
        <v>4</v>
      </c>
      <c r="N13" s="18">
        <f t="shared" si="0"/>
        <v>4</v>
      </c>
      <c r="O13" s="16"/>
    </row>
    <row r="14" spans="1:15" ht="120" customHeight="1" x14ac:dyDescent="0.3">
      <c r="A14" s="16" t="s">
        <v>287</v>
      </c>
      <c r="B14" s="16" t="s">
        <v>170</v>
      </c>
      <c r="C14" s="16" t="s">
        <v>356</v>
      </c>
      <c r="D14" s="18">
        <f>IFERROR(INDEX('Регистър на риска'!$I:$I,MATCH(A14,'Регистър на риска'!$A:$A,0)),"")</f>
        <v>9</v>
      </c>
      <c r="E14" s="16" t="s">
        <v>293</v>
      </c>
      <c r="F14" s="16" t="s">
        <v>357</v>
      </c>
      <c r="G14" s="16" t="s">
        <v>109</v>
      </c>
      <c r="H14" s="16" t="s">
        <v>98</v>
      </c>
      <c r="I14" s="16"/>
      <c r="J14" s="16"/>
      <c r="K14" s="16" t="s">
        <v>358</v>
      </c>
      <c r="L14" s="16">
        <v>3</v>
      </c>
      <c r="M14" s="16">
        <v>3</v>
      </c>
      <c r="N14" s="18">
        <f t="shared" si="0"/>
        <v>9</v>
      </c>
      <c r="O14" s="16"/>
    </row>
    <row r="15" spans="1:15" ht="120" customHeight="1" x14ac:dyDescent="0.3">
      <c r="A15" s="16" t="s">
        <v>295</v>
      </c>
      <c r="B15" s="16" t="s">
        <v>165</v>
      </c>
      <c r="C15" s="16" t="s">
        <v>359</v>
      </c>
      <c r="D15" s="18">
        <f>IFERROR(INDEX('Регистър на риска'!$I:$I,MATCH(A15,'Регистър на риска'!$A:$A,0)),"")</f>
        <v>12</v>
      </c>
      <c r="E15" s="16" t="s">
        <v>213</v>
      </c>
      <c r="F15" s="16" t="s">
        <v>360</v>
      </c>
      <c r="G15" s="16" t="s">
        <v>361</v>
      </c>
      <c r="H15" s="16" t="s">
        <v>140</v>
      </c>
      <c r="I15" s="16"/>
      <c r="J15" s="16"/>
      <c r="K15" s="16" t="s">
        <v>322</v>
      </c>
      <c r="L15" s="16">
        <v>2</v>
      </c>
      <c r="M15" s="16">
        <v>3</v>
      </c>
      <c r="N15" s="18">
        <f t="shared" si="0"/>
        <v>6</v>
      </c>
      <c r="O15" s="16"/>
    </row>
    <row r="16" spans="1:15" ht="120" customHeight="1" x14ac:dyDescent="0.3">
      <c r="A16" s="16" t="s">
        <v>302</v>
      </c>
      <c r="B16" s="16" t="s">
        <v>95</v>
      </c>
      <c r="C16" s="16" t="s">
        <v>362</v>
      </c>
      <c r="D16" s="18">
        <f>IFERROR(INDEX('Регистър на риска'!$I:$I,MATCH(A16,'Регистър на риска'!$A:$A,0)),"")</f>
        <v>3</v>
      </c>
      <c r="E16" s="16" t="s">
        <v>293</v>
      </c>
      <c r="F16" s="16" t="s">
        <v>363</v>
      </c>
      <c r="G16" s="16" t="s">
        <v>109</v>
      </c>
      <c r="H16" s="16" t="s">
        <v>98</v>
      </c>
      <c r="I16" s="16"/>
      <c r="J16" s="16"/>
      <c r="K16" s="16" t="s">
        <v>358</v>
      </c>
      <c r="L16" s="16">
        <v>1</v>
      </c>
      <c r="M16" s="16">
        <v>3</v>
      </c>
      <c r="N16" s="18">
        <f t="shared" si="0"/>
        <v>3</v>
      </c>
      <c r="O16" s="16"/>
    </row>
    <row r="17" spans="1:15" x14ac:dyDescent="0.3">
      <c r="A17" s="16"/>
      <c r="B17" s="16"/>
      <c r="C17" s="16"/>
      <c r="D17" s="18" t="str">
        <f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t="shared" si="0"/>
        <v/>
      </c>
      <c r="O17" s="16"/>
    </row>
    <row r="18" spans="1:15" x14ac:dyDescent="0.3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 x14ac:dyDescent="0.3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 x14ac:dyDescent="0.3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 x14ac:dyDescent="0.3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 x14ac:dyDescent="0.3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 x14ac:dyDescent="0.3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 x14ac:dyDescent="0.3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 x14ac:dyDescent="0.3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 x14ac:dyDescent="0.3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 x14ac:dyDescent="0.3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 x14ac:dyDescent="0.3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 x14ac:dyDescent="0.3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 x14ac:dyDescent="0.3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 x14ac:dyDescent="0.3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 x14ac:dyDescent="0.3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 x14ac:dyDescent="0.3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 x14ac:dyDescent="0.3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 x14ac:dyDescent="0.3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 x14ac:dyDescent="0.3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 x14ac:dyDescent="0.3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 x14ac:dyDescent="0.3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 x14ac:dyDescent="0.3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 x14ac:dyDescent="0.3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 x14ac:dyDescent="0.3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 x14ac:dyDescent="0.3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 x14ac:dyDescent="0.3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 x14ac:dyDescent="0.3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 x14ac:dyDescent="0.3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 x14ac:dyDescent="0.3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 x14ac:dyDescent="0.3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 x14ac:dyDescent="0.3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 x14ac:dyDescent="0.3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 x14ac:dyDescent="0.3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 x14ac:dyDescent="0.3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 x14ac:dyDescent="0.3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 x14ac:dyDescent="0.3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 x14ac:dyDescent="0.3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 x14ac:dyDescent="0.3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 x14ac:dyDescent="0.3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 x14ac:dyDescent="0.3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 x14ac:dyDescent="0.3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 x14ac:dyDescent="0.3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 x14ac:dyDescent="0.3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 x14ac:dyDescent="0.3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 x14ac:dyDescent="0.3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 x14ac:dyDescent="0.3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 x14ac:dyDescent="0.3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 x14ac:dyDescent="0.3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si="0"/>
        <v/>
      </c>
      <c r="O65" s="16"/>
    </row>
    <row r="66" spans="1:15" x14ac:dyDescent="0.3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ref="N66:N129" si="1">IF(OR(L66="",M66=""),"",L66*M66)</f>
        <v/>
      </c>
      <c r="O66" s="16"/>
    </row>
    <row r="67" spans="1:15" x14ac:dyDescent="0.3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 x14ac:dyDescent="0.3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 x14ac:dyDescent="0.3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 x14ac:dyDescent="0.3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 x14ac:dyDescent="0.3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 x14ac:dyDescent="0.3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 x14ac:dyDescent="0.3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 x14ac:dyDescent="0.3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 x14ac:dyDescent="0.3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 x14ac:dyDescent="0.3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 x14ac:dyDescent="0.3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 x14ac:dyDescent="0.3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 x14ac:dyDescent="0.3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 x14ac:dyDescent="0.3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 x14ac:dyDescent="0.3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 x14ac:dyDescent="0.3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 x14ac:dyDescent="0.3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 x14ac:dyDescent="0.3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 x14ac:dyDescent="0.3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 x14ac:dyDescent="0.3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 x14ac:dyDescent="0.3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 x14ac:dyDescent="0.3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 x14ac:dyDescent="0.3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 x14ac:dyDescent="0.3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 x14ac:dyDescent="0.3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 x14ac:dyDescent="0.3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 x14ac:dyDescent="0.3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 x14ac:dyDescent="0.3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 x14ac:dyDescent="0.3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 x14ac:dyDescent="0.3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 x14ac:dyDescent="0.3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 x14ac:dyDescent="0.3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 x14ac:dyDescent="0.3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 x14ac:dyDescent="0.3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 x14ac:dyDescent="0.3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 x14ac:dyDescent="0.3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 x14ac:dyDescent="0.3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 x14ac:dyDescent="0.3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 x14ac:dyDescent="0.3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 x14ac:dyDescent="0.3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 x14ac:dyDescent="0.3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 x14ac:dyDescent="0.3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 x14ac:dyDescent="0.3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 x14ac:dyDescent="0.3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 x14ac:dyDescent="0.3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 x14ac:dyDescent="0.3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 x14ac:dyDescent="0.3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 x14ac:dyDescent="0.3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 x14ac:dyDescent="0.3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 x14ac:dyDescent="0.3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 x14ac:dyDescent="0.3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 x14ac:dyDescent="0.3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 x14ac:dyDescent="0.3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 x14ac:dyDescent="0.3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 x14ac:dyDescent="0.3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 x14ac:dyDescent="0.3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 x14ac:dyDescent="0.3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 x14ac:dyDescent="0.3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 x14ac:dyDescent="0.3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 x14ac:dyDescent="0.3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 x14ac:dyDescent="0.3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 x14ac:dyDescent="0.3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 x14ac:dyDescent="0.3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</row>
    <row r="130" spans="1:15" x14ac:dyDescent="0.3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IF(OR(L130="",M130=""),"",L130*M130)</f>
        <v/>
      </c>
      <c r="O130" s="16"/>
    </row>
    <row r="131" spans="1:15" x14ac:dyDescent="0.3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 x14ac:dyDescent="0.3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 x14ac:dyDescent="0.3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 x14ac:dyDescent="0.3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 x14ac:dyDescent="0.3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 x14ac:dyDescent="0.3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 x14ac:dyDescent="0.3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 x14ac:dyDescent="0.3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 x14ac:dyDescent="0.3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 x14ac:dyDescent="0.3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 x14ac:dyDescent="0.3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 x14ac:dyDescent="0.3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 x14ac:dyDescent="0.3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 x14ac:dyDescent="0.3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 x14ac:dyDescent="0.3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 x14ac:dyDescent="0.3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 x14ac:dyDescent="0.3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 x14ac:dyDescent="0.3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 x14ac:dyDescent="0.3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 x14ac:dyDescent="0.3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 x14ac:dyDescent="0.3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 x14ac:dyDescent="0.3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 x14ac:dyDescent="0.3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 x14ac:dyDescent="0.3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 x14ac:dyDescent="0.3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 x14ac:dyDescent="0.3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 x14ac:dyDescent="0.3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 x14ac:dyDescent="0.3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 x14ac:dyDescent="0.3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 x14ac:dyDescent="0.3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 x14ac:dyDescent="0.3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 x14ac:dyDescent="0.3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 x14ac:dyDescent="0.3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 x14ac:dyDescent="0.3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 x14ac:dyDescent="0.3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 x14ac:dyDescent="0.3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 x14ac:dyDescent="0.3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 x14ac:dyDescent="0.3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 x14ac:dyDescent="0.3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 x14ac:dyDescent="0.3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 x14ac:dyDescent="0.3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 x14ac:dyDescent="0.3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 x14ac:dyDescent="0.3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 x14ac:dyDescent="0.3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 x14ac:dyDescent="0.3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 x14ac:dyDescent="0.3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 x14ac:dyDescent="0.3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 x14ac:dyDescent="0.3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 x14ac:dyDescent="0.3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 x14ac:dyDescent="0.3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 x14ac:dyDescent="0.3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 x14ac:dyDescent="0.3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 x14ac:dyDescent="0.3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 x14ac:dyDescent="0.3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 x14ac:dyDescent="0.3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 x14ac:dyDescent="0.3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 x14ac:dyDescent="0.3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 x14ac:dyDescent="0.3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 x14ac:dyDescent="0.3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 x14ac:dyDescent="0.3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 x14ac:dyDescent="0.3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 x14ac:dyDescent="0.3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 x14ac:dyDescent="0.3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</row>
    <row r="194" spans="1:15" x14ac:dyDescent="0.3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10" si="3">IF(OR(L194="",M194=""),"",L194*M194)</f>
        <v/>
      </c>
      <c r="O194" s="16"/>
    </row>
    <row r="195" spans="1:15" x14ac:dyDescent="0.3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 x14ac:dyDescent="0.3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 x14ac:dyDescent="0.3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 x14ac:dyDescent="0.3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 x14ac:dyDescent="0.3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 x14ac:dyDescent="0.3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 x14ac:dyDescent="0.3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 x14ac:dyDescent="0.3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 x14ac:dyDescent="0.3">
      <c r="A203" s="16"/>
      <c r="B203" s="16"/>
      <c r="C203" s="16"/>
      <c r="D203" s="18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4" customWidth="1"/>
    <col min="3" max="3" width="22" customWidth="1"/>
    <col min="4" max="4" width="12" customWidth="1"/>
    <col min="5" max="5" width="36" customWidth="1"/>
    <col min="6" max="6" width="12" customWidth="1"/>
    <col min="7" max="7" width="16" customWidth="1"/>
    <col min="8" max="8" width="70" customWidth="1"/>
  </cols>
  <sheetData>
    <row r="1" spans="1:8" ht="26.4" x14ac:dyDescent="0.3">
      <c r="A1" s="19" t="s">
        <v>364</v>
      </c>
      <c r="B1" s="19" t="s">
        <v>365</v>
      </c>
      <c r="C1" s="19" t="s">
        <v>366</v>
      </c>
      <c r="D1" s="19" t="s">
        <v>367</v>
      </c>
      <c r="E1" s="19" t="s">
        <v>368</v>
      </c>
      <c r="F1" s="19" t="s">
        <v>369</v>
      </c>
      <c r="G1" s="19" t="s">
        <v>370</v>
      </c>
      <c r="H1" s="19" t="s">
        <v>371</v>
      </c>
    </row>
    <row r="2" spans="1:8" ht="39.6" x14ac:dyDescent="0.3">
      <c r="A2" s="1" t="s">
        <v>372</v>
      </c>
      <c r="B2" s="1" t="s">
        <v>373</v>
      </c>
      <c r="C2" s="1" t="s">
        <v>374</v>
      </c>
      <c r="D2" s="1">
        <v>98</v>
      </c>
      <c r="E2" s="1" t="s">
        <v>375</v>
      </c>
      <c r="F2" s="1">
        <v>5</v>
      </c>
      <c r="G2" s="1" t="s">
        <v>207</v>
      </c>
      <c r="H2" s="1" t="s">
        <v>376</v>
      </c>
    </row>
    <row r="3" spans="1:8" ht="39.6" x14ac:dyDescent="0.3">
      <c r="A3" s="1" t="s">
        <v>377</v>
      </c>
      <c r="B3" s="1" t="s">
        <v>378</v>
      </c>
      <c r="C3" s="1" t="s">
        <v>379</v>
      </c>
      <c r="D3" s="1">
        <v>66</v>
      </c>
      <c r="E3" s="1" t="s">
        <v>375</v>
      </c>
      <c r="F3" s="1">
        <v>5</v>
      </c>
      <c r="G3" s="1" t="s">
        <v>215</v>
      </c>
      <c r="H3" s="1" t="s">
        <v>380</v>
      </c>
    </row>
    <row r="4" spans="1:8" ht="39.6" x14ac:dyDescent="0.3">
      <c r="A4" s="1" t="s">
        <v>381</v>
      </c>
      <c r="B4" s="1" t="s">
        <v>382</v>
      </c>
      <c r="C4" s="1" t="s">
        <v>383</v>
      </c>
      <c r="D4" s="1">
        <v>62</v>
      </c>
      <c r="E4" s="1" t="s">
        <v>375</v>
      </c>
      <c r="F4" s="1">
        <v>5</v>
      </c>
      <c r="G4" s="1" t="s">
        <v>247</v>
      </c>
      <c r="H4" s="1" t="s">
        <v>384</v>
      </c>
    </row>
    <row r="5" spans="1:8" ht="39.6" x14ac:dyDescent="0.3">
      <c r="A5" s="1" t="s">
        <v>385</v>
      </c>
      <c r="B5" s="1" t="s">
        <v>386</v>
      </c>
      <c r="C5" s="1" t="s">
        <v>387</v>
      </c>
      <c r="D5" s="1">
        <v>49</v>
      </c>
      <c r="E5" s="1" t="s">
        <v>388</v>
      </c>
      <c r="F5" s="1">
        <v>4</v>
      </c>
      <c r="G5" s="1" t="s">
        <v>253</v>
      </c>
      <c r="H5" s="1" t="s">
        <v>389</v>
      </c>
    </row>
    <row r="6" spans="1:8" ht="39.6" x14ac:dyDescent="0.3">
      <c r="A6" s="1" t="s">
        <v>390</v>
      </c>
      <c r="B6" s="1" t="s">
        <v>391</v>
      </c>
      <c r="C6" s="1" t="s">
        <v>374</v>
      </c>
      <c r="D6" s="1">
        <v>46</v>
      </c>
      <c r="E6" s="1" t="s">
        <v>375</v>
      </c>
      <c r="F6" s="1">
        <v>4</v>
      </c>
      <c r="G6" s="1" t="s">
        <v>392</v>
      </c>
      <c r="H6" s="1" t="s">
        <v>393</v>
      </c>
    </row>
    <row r="7" spans="1:8" ht="39.6" x14ac:dyDescent="0.3">
      <c r="A7" s="1" t="s">
        <v>394</v>
      </c>
      <c r="B7" s="1" t="s">
        <v>395</v>
      </c>
      <c r="C7" s="1" t="s">
        <v>396</v>
      </c>
      <c r="D7" s="1">
        <v>32</v>
      </c>
      <c r="E7" s="1" t="s">
        <v>397</v>
      </c>
      <c r="F7" s="1">
        <v>3</v>
      </c>
      <c r="G7" s="1" t="s">
        <v>227</v>
      </c>
      <c r="H7" s="1" t="s">
        <v>398</v>
      </c>
    </row>
    <row r="8" spans="1:8" ht="26.4" x14ac:dyDescent="0.3">
      <c r="A8" s="1" t="s">
        <v>399</v>
      </c>
      <c r="B8" s="1" t="s">
        <v>400</v>
      </c>
      <c r="C8" s="1" t="s">
        <v>401</v>
      </c>
      <c r="D8" s="1">
        <v>27</v>
      </c>
      <c r="E8" s="1" t="s">
        <v>402</v>
      </c>
      <c r="F8" s="1">
        <v>3</v>
      </c>
      <c r="G8" s="1" t="s">
        <v>241</v>
      </c>
      <c r="H8" s="1" t="s">
        <v>403</v>
      </c>
    </row>
    <row r="9" spans="1:8" ht="39.6" x14ac:dyDescent="0.3">
      <c r="A9" s="1" t="s">
        <v>404</v>
      </c>
      <c r="B9" s="1" t="s">
        <v>405</v>
      </c>
      <c r="C9" s="1" t="s">
        <v>406</v>
      </c>
      <c r="D9" s="1">
        <v>23</v>
      </c>
      <c r="E9" s="1" t="s">
        <v>407</v>
      </c>
      <c r="F9" s="1">
        <v>3</v>
      </c>
      <c r="G9" s="1" t="s">
        <v>266</v>
      </c>
      <c r="H9" s="1" t="s">
        <v>408</v>
      </c>
    </row>
    <row r="10" spans="1:8" ht="39.6" x14ac:dyDescent="0.3">
      <c r="A10" s="1" t="s">
        <v>409</v>
      </c>
      <c r="B10" s="1" t="s">
        <v>410</v>
      </c>
      <c r="C10" s="1" t="s">
        <v>411</v>
      </c>
      <c r="D10" s="1">
        <v>22</v>
      </c>
      <c r="E10" s="1" t="s">
        <v>412</v>
      </c>
      <c r="F10" s="1">
        <v>3</v>
      </c>
      <c r="G10" s="1" t="s">
        <v>273</v>
      </c>
      <c r="H10" s="1" t="s">
        <v>413</v>
      </c>
    </row>
    <row r="11" spans="1:8" ht="39.6" x14ac:dyDescent="0.3">
      <c r="A11" s="1" t="s">
        <v>414</v>
      </c>
      <c r="B11" s="1" t="s">
        <v>415</v>
      </c>
      <c r="C11" s="1" t="s">
        <v>416</v>
      </c>
      <c r="D11" s="1">
        <v>22</v>
      </c>
      <c r="E11" s="1" t="s">
        <v>417</v>
      </c>
      <c r="F11" s="1">
        <v>3</v>
      </c>
      <c r="G11" s="1" t="s">
        <v>287</v>
      </c>
      <c r="H11" s="1" t="s">
        <v>418</v>
      </c>
    </row>
    <row r="12" spans="1:8" ht="26.4" x14ac:dyDescent="0.3">
      <c r="A12" s="1" t="s">
        <v>419</v>
      </c>
      <c r="B12" s="1" t="s">
        <v>420</v>
      </c>
      <c r="C12" s="1" t="s">
        <v>421</v>
      </c>
      <c r="D12" s="1">
        <v>19</v>
      </c>
      <c r="E12" s="1" t="s">
        <v>422</v>
      </c>
      <c r="F12" s="1">
        <v>2</v>
      </c>
      <c r="G12" s="1" t="s">
        <v>259</v>
      </c>
      <c r="H12" s="1" t="s">
        <v>423</v>
      </c>
    </row>
    <row r="13" spans="1:8" ht="39.6" x14ac:dyDescent="0.3">
      <c r="A13" s="1" t="s">
        <v>424</v>
      </c>
      <c r="B13" s="1" t="s">
        <v>425</v>
      </c>
      <c r="C13" s="1" t="s">
        <v>416</v>
      </c>
      <c r="D13" s="1">
        <v>15</v>
      </c>
      <c r="E13" s="1" t="s">
        <v>426</v>
      </c>
      <c r="F13" s="1">
        <v>2</v>
      </c>
      <c r="G13" s="1" t="s">
        <v>234</v>
      </c>
      <c r="H13" s="1" t="s">
        <v>427</v>
      </c>
    </row>
    <row r="14" spans="1:8" ht="39.6" x14ac:dyDescent="0.3">
      <c r="A14" s="1" t="s">
        <v>428</v>
      </c>
      <c r="B14" s="1" t="s">
        <v>429</v>
      </c>
      <c r="C14" s="1" t="s">
        <v>430</v>
      </c>
      <c r="D14" s="1">
        <v>8</v>
      </c>
      <c r="E14" s="1" t="s">
        <v>431</v>
      </c>
      <c r="F14" s="1">
        <v>2</v>
      </c>
      <c r="G14" s="1" t="s">
        <v>280</v>
      </c>
      <c r="H14" s="1" t="s">
        <v>432</v>
      </c>
    </row>
    <row r="15" spans="1:8" x14ac:dyDescent="0.3">
      <c r="A15" s="1" t="s">
        <v>433</v>
      </c>
      <c r="B15" s="1" t="s">
        <v>434</v>
      </c>
      <c r="C15" s="1" t="s">
        <v>421</v>
      </c>
      <c r="D15" s="1">
        <v>1</v>
      </c>
      <c r="E15" s="1" t="s">
        <v>435</v>
      </c>
      <c r="F15" s="1">
        <v>1</v>
      </c>
      <c r="G15" s="1" t="s">
        <v>302</v>
      </c>
      <c r="H15" s="1" t="s">
        <v>436</v>
      </c>
    </row>
    <row r="17" spans="1:8" x14ac:dyDescent="0.3">
      <c r="A17" s="6" t="s">
        <v>437</v>
      </c>
    </row>
    <row r="18" spans="1:8" ht="43.5" customHeight="1" x14ac:dyDescent="0.3">
      <c r="A18" s="28" t="s">
        <v>438</v>
      </c>
      <c r="B18" s="28"/>
      <c r="C18" s="28"/>
      <c r="D18" s="28"/>
      <c r="E18" s="28"/>
      <c r="F18" s="28"/>
      <c r="G18" s="28"/>
      <c r="H18" s="28"/>
    </row>
    <row r="19" spans="1:8" ht="43.5" customHeight="1" x14ac:dyDescent="0.3">
      <c r="A19" s="28" t="s">
        <v>439</v>
      </c>
      <c r="B19" s="28"/>
      <c r="C19" s="28"/>
      <c r="D19" s="28"/>
      <c r="E19" s="28"/>
      <c r="F19" s="28"/>
      <c r="G19" s="28"/>
      <c r="H19" s="28"/>
    </row>
    <row r="20" spans="1:8" ht="43.5" customHeight="1" x14ac:dyDescent="0.3">
      <c r="A20" s="28" t="s">
        <v>440</v>
      </c>
      <c r="B20" s="28"/>
      <c r="C20" s="28"/>
      <c r="D20" s="28"/>
      <c r="E20" s="28"/>
      <c r="F20" s="28"/>
      <c r="G20" s="28"/>
      <c r="H20" s="28"/>
    </row>
    <row r="21" spans="1:8" ht="43.5" customHeight="1" x14ac:dyDescent="0.3">
      <c r="A21" s="28" t="s">
        <v>441</v>
      </c>
      <c r="B21" s="28"/>
      <c r="C21" s="28"/>
      <c r="D21" s="28"/>
      <c r="E21" s="28"/>
      <c r="F21" s="28"/>
      <c r="G21" s="28"/>
      <c r="H21" s="28"/>
    </row>
    <row r="22" spans="1:8" ht="43.5" customHeight="1" x14ac:dyDescent="0.3">
      <c r="A22" s="28" t="s">
        <v>442</v>
      </c>
      <c r="B22" s="28"/>
      <c r="C22" s="28"/>
      <c r="D22" s="28"/>
      <c r="E22" s="28"/>
      <c r="F22" s="28"/>
      <c r="G22" s="28"/>
      <c r="H22" s="28"/>
    </row>
  </sheetData>
  <mergeCells count="5">
    <mergeCell ref="A18:H18"/>
    <mergeCell ref="A19:H19"/>
    <mergeCell ref="A20:H20"/>
    <mergeCell ref="A21:H21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D1F0-305E-411C-B166-26CB94573FAD}">
  <dimension ref="A1:F16"/>
  <sheetViews>
    <sheetView tabSelected="1" workbookViewId="0">
      <selection activeCell="M14" sqref="M14"/>
    </sheetView>
  </sheetViews>
  <sheetFormatPr defaultRowHeight="14.4" x14ac:dyDescent="0.3"/>
  <cols>
    <col min="1" max="1" width="24.77734375" customWidth="1"/>
    <col min="4" max="4" width="16.6640625" customWidth="1"/>
    <col min="5" max="5" width="14.6640625" customWidth="1"/>
    <col min="6" max="6" width="14.33203125" customWidth="1"/>
  </cols>
  <sheetData>
    <row r="1" spans="1:6" ht="15.6" x14ac:dyDescent="0.3">
      <c r="A1" s="20" t="s">
        <v>443</v>
      </c>
    </row>
    <row r="2" spans="1:6" x14ac:dyDescent="0.3">
      <c r="A2" s="21" t="s">
        <v>444</v>
      </c>
      <c r="B2" s="22">
        <v>1</v>
      </c>
      <c r="C2" s="22">
        <v>2</v>
      </c>
      <c r="D2" s="22">
        <v>3</v>
      </c>
      <c r="E2" s="22">
        <v>4</v>
      </c>
      <c r="F2" s="22">
        <v>5</v>
      </c>
    </row>
    <row r="3" spans="1:6" ht="26.4" x14ac:dyDescent="0.3">
      <c r="A3" s="23">
        <v>5</v>
      </c>
      <c r="B3" s="24" t="str">
        <f t="array" ref="B3">_xlfn.TEXTJOIN(", ",TRUE(),IF(('Регистър на риска'!$G$2:$G$210=5)*('Регистър на риска'!$H$2:$H$210=1),'Регистър на риска'!$A$2:$A$210,""))</f>
        <v/>
      </c>
      <c r="C3" s="25" t="str">
        <f t="array" ref="C3">_xlfn.TEXTJOIN(", ",TRUE(),IF(('Регистър на риска'!$G$2:$G$210=5)*('Регистър на риска'!$H$2:$H$210=2),'Регистър на риска'!$A$2:$A$210,""))</f>
        <v/>
      </c>
      <c r="D3" s="25" t="str">
        <f t="array" ref="D3">_xlfn.TEXTJOIN(", ",TRUE(),IF(('Регистър на риска'!$G$2:$G$210=5)*('Регистър на риска'!$H$2:$H$210=3),'Регистър на риска'!$A$2:$A$210,""))</f>
        <v>R-01</v>
      </c>
      <c r="E3" s="26" t="str">
        <f t="array" ref="E3">_xlfn.TEXTJOIN(", ",TRUE(),IF(('Регистър на риска'!$G$2:$G$210=5)*('Регистър на риска'!$H$2:$H$210=4),'Регистър на риска'!$A$2:$A$210,""))</f>
        <v>R-02, R-07</v>
      </c>
      <c r="F3" s="26" t="str">
        <f t="array" ref="F3">_xlfn.TEXTJOIN(", ",TRUE(),IF(('Регистър на риска'!$G$2:$G$210=5)*('Регистър на риска'!$H$2:$H$210=5),'Регистър на риска'!$A$2:$A$210,""))</f>
        <v/>
      </c>
    </row>
    <row r="4" spans="1:6" ht="26.4" x14ac:dyDescent="0.3">
      <c r="A4" s="23">
        <v>4</v>
      </c>
      <c r="B4" s="27" t="str">
        <f t="array" ref="B4">_xlfn.TEXTJOIN(", ",TRUE(),IF(('Регистър на риска'!$G$2:$G$210=4)*('Регистър на риска'!$H$2:$H$210=1),'Регистър на риска'!$A$2:$A$210,""))</f>
        <v/>
      </c>
      <c r="C4" s="24" t="str">
        <f t="array" ref="C4">_xlfn.TEXTJOIN(", ",TRUE(),IF(('Регистър на риска'!$G$2:$G$210=4)*('Регистър на риска'!$H$2:$H$210=2),'Регистър на риска'!$A$2:$A$210,""))</f>
        <v/>
      </c>
      <c r="D4" s="25" t="str">
        <f t="array" ref="D4">_xlfn.TEXTJOIN(", ",TRUE(),IF(('Регистър на риска'!$G$2:$G$210=4)*('Регистър на риска'!$H$2:$H$210=3),'Регистър на риска'!$A$2:$A$210,""))</f>
        <v>R-08, R-14</v>
      </c>
      <c r="E4" s="26" t="str">
        <f t="array" ref="E4">_xlfn.TEXTJOIN(", ",TRUE(),IF(('Регистър на риска'!$G$2:$G$210=4)*('Регистър на риска'!$H$2:$H$210=4),'Регистър на риска'!$A$2:$A$210,""))</f>
        <v>R-03</v>
      </c>
      <c r="F4" s="26" t="str">
        <f t="array" ref="F4">_xlfn.TEXTJOIN(", ",TRUE(),IF(('Регистър на риска'!$G$2:$G$210=4)*('Регистър на риска'!$H$2:$H$210=5),'Регистър на риска'!$A$2:$A$210,""))</f>
        <v/>
      </c>
    </row>
    <row r="5" spans="1:6" ht="26.4" x14ac:dyDescent="0.3">
      <c r="A5" s="23">
        <v>3</v>
      </c>
      <c r="B5" s="27" t="str">
        <f t="array" ref="B5">_xlfn.TEXTJOIN(", ",TRUE(),IF(('Регистър на риска'!$G$2:$G$210=3)*('Регистър на риска'!$H$2:$H$210=1),'Регистър на риска'!$A$2:$A$210,""))</f>
        <v/>
      </c>
      <c r="C5" s="24" t="str">
        <f t="array" ref="C5">_xlfn.TEXTJOIN(", ",TRUE(),IF(('Регистър на риска'!$G$2:$G$210=3)*('Регистър на риска'!$H$2:$H$210=2),'Регистър на риска'!$A$2:$A$210,""))</f>
        <v/>
      </c>
      <c r="D5" s="24" t="str">
        <f t="array" ref="D5">_xlfn.TEXTJOIN(", ",TRUE(),IF(('Регистър на риска'!$G$2:$G$210=3)*('Регистър на риска'!$H$2:$H$210=3),'Регистър на риска'!$A$2:$A$210,""))</f>
        <v>R-13</v>
      </c>
      <c r="E5" s="25" t="str">
        <f t="array" ref="E5">_xlfn.TEXTJOIN(", ",TRUE(),IF(('Регистър на риска'!$G$2:$G$210=3)*('Регистър на риска'!$H$2:$H$210=4),'Регистър на риска'!$A$2:$A$210,""))</f>
        <v>R-04, R-11</v>
      </c>
      <c r="F5" s="25" t="str">
        <f t="array" ref="F5">_xlfn.TEXTJOIN(", ",TRUE(),IF(('Регистър на риска'!$G$2:$G$210=3)*('Регистър на риска'!$H$2:$H$210=5),'Регистър на риска'!$A$2:$A$210,""))</f>
        <v>R-06, R-10</v>
      </c>
    </row>
    <row r="6" spans="1:6" ht="26.4" x14ac:dyDescent="0.3">
      <c r="A6" s="23">
        <v>2</v>
      </c>
      <c r="B6" s="27" t="str">
        <f t="array" ref="B6">_xlfn.TEXTJOIN(", ",TRUE(),IF(('Регистър на риска'!$G$2:$G$210=2)*('Регистър на риска'!$H$2:$H$210=1),'Регистър на риска'!$A$2:$A$210,""))</f>
        <v/>
      </c>
      <c r="C6" s="27" t="str">
        <f t="array" ref="C6">_xlfn.TEXTJOIN(", ",TRUE(),IF(('Регистър на риска'!$G$2:$G$210=2)*('Регистър на риска'!$H$2:$H$210=2),'Регистър на риска'!$A$2:$A$210,""))</f>
        <v/>
      </c>
      <c r="D6" s="24" t="str">
        <f t="array" ref="D6">_xlfn.TEXTJOIN(", ",TRUE(),IF(('Регистър на риска'!$G$2:$G$210=2)*('Регистър на риска'!$H$2:$H$210=3),'Регистър на риска'!$A$2:$A$210,""))</f>
        <v/>
      </c>
      <c r="E6" s="24" t="str">
        <f t="array" ref="E6">_xlfn.TEXTJOIN(", ",TRUE(),IF(('Регистър на риска'!$G$2:$G$210=2)*('Регистър на риска'!$H$2:$H$210=4),'Регистър на риска'!$A$2:$A$210,""))</f>
        <v>R-12</v>
      </c>
      <c r="F6" s="25" t="str">
        <f t="array" ref="F6">_xlfn.TEXTJOIN(", ",TRUE(),IF(('Регистър на риска'!$G$2:$G$210=2)*('Регистър на риска'!$H$2:$H$210=5),'Регистър на риска'!$A$2:$A$210,""))</f>
        <v>R-05, R-09</v>
      </c>
    </row>
    <row r="7" spans="1:6" x14ac:dyDescent="0.3">
      <c r="A7" s="23">
        <v>1</v>
      </c>
      <c r="B7" s="27" t="str">
        <f t="array" ref="B7">_xlfn.TEXTJOIN(", ",TRUE(),IF(('Регистър на риска'!$G$2:$G$210=1)*('Регистър на риска'!$H$2:$H$210=1),'Регистър на риска'!$A$2:$A$210,""))</f>
        <v/>
      </c>
      <c r="C7" s="27" t="str">
        <f t="array" ref="C7">_xlfn.TEXTJOIN(", ",TRUE(),IF(('Регистър на риска'!$G$2:$G$210=1)*('Регистър на риска'!$H$2:$H$210=2),'Регистър на риска'!$A$2:$A$210,""))</f>
        <v/>
      </c>
      <c r="D7" s="27" t="str">
        <f t="array" ref="D7">_xlfn.TEXTJOIN(", ",TRUE(),IF(('Регистър на риска'!$G$2:$G$210=1)*('Регистър на риска'!$H$2:$H$210=3),'Регистър на риска'!$A$2:$A$210,""))</f>
        <v>R-15</v>
      </c>
      <c r="E7" s="27" t="str">
        <f t="array" ref="E7">_xlfn.TEXTJOIN(", ",TRUE(),IF(('Регистър на риска'!$G$2:$G$210=1)*('Регистър на риска'!$H$2:$H$210=4),'Регистър на риска'!$A$2:$A$210,""))</f>
        <v/>
      </c>
      <c r="F7" s="24" t="str">
        <f t="array" ref="F7">_xlfn.TEXTJOIN(", ",TRUE(),IF(('Регистър на риска'!$G$2:$G$210=1)*('Регистър на риска'!$H$2:$H$210=5),'Регистър на риска'!$A$2:$A$210,""))</f>
        <v/>
      </c>
    </row>
    <row r="10" spans="1:6" ht="15.6" x14ac:dyDescent="0.3">
      <c r="A10" s="20" t="s">
        <v>445</v>
      </c>
    </row>
    <row r="11" spans="1:6" x14ac:dyDescent="0.3">
      <c r="A11" s="21" t="s">
        <v>444</v>
      </c>
      <c r="B11" s="22">
        <v>1</v>
      </c>
      <c r="C11" s="22">
        <v>2</v>
      </c>
      <c r="D11" s="22">
        <v>3</v>
      </c>
      <c r="E11" s="22">
        <v>4</v>
      </c>
      <c r="F11" s="22">
        <v>5</v>
      </c>
    </row>
    <row r="12" spans="1:6" x14ac:dyDescent="0.3">
      <c r="A12" s="23">
        <v>5</v>
      </c>
      <c r="B12" s="24" t="str">
        <f t="array" ref="B12">_xlfn.TEXTJOIN(", ",TRUE(),IF(('Регистър на риска'!$P$2:$P$210=5)*('Регистър на риска'!$Q$2:$Q$210=1),'Регистър на риска'!$A$2:$A$210,""))</f>
        <v/>
      </c>
      <c r="C12" s="25" t="str">
        <f t="array" ref="C12">_xlfn.TEXTJOIN(", ",TRUE(),IF(('Регистър на риска'!$P$2:$P$210=5)*('Регистър на риска'!$Q$2:$Q$210=2),'Регистър на риска'!$A$2:$A$210,""))</f>
        <v/>
      </c>
      <c r="D12" s="25" t="str">
        <f t="array" ref="D12">_xlfn.TEXTJOIN(", ",TRUE(),IF(('Регистър на риска'!$P$2:$P$210=5)*('Регистър на риска'!$Q$2:$Q$210=3),'Регистър на риска'!$A$2:$A$210,""))</f>
        <v/>
      </c>
      <c r="E12" s="26" t="str">
        <f t="array" ref="E12">_xlfn.TEXTJOIN(", ",TRUE(),IF(('Регистър на риска'!$P$2:$P$210=5)*('Регистър на риска'!$Q$2:$Q$210=4),'Регистър на риска'!$A$2:$A$210,""))</f>
        <v/>
      </c>
      <c r="F12" s="26" t="str">
        <f t="array" ref="F12">_xlfn.TEXTJOIN(", ",TRUE(),IF(('Регистър на риска'!$P$2:$P$210=5)*('Регистър на риска'!$Q$2:$Q$210=5),'Регистър на риска'!$A$2:$A$210,""))</f>
        <v/>
      </c>
    </row>
    <row r="13" spans="1:6" x14ac:dyDescent="0.3">
      <c r="A13" s="23">
        <v>4</v>
      </c>
      <c r="B13" s="27" t="str">
        <f t="array" ref="B13">_xlfn.TEXTJOIN(", ",TRUE(),IF(('Регистър на риска'!$P$2:$P$210=4)*('Регистър на риска'!$Q$2:$Q$210=1),'Регистър на риска'!$A$2:$A$210,""))</f>
        <v/>
      </c>
      <c r="C13" s="24" t="str">
        <f t="array" ref="C13">_xlfn.TEXTJOIN(", ",TRUE(),IF(('Регистър на риска'!$P$2:$P$210=4)*('Регистър на риска'!$Q$2:$Q$210=2),'Регистър на риска'!$A$2:$A$210,""))</f>
        <v/>
      </c>
      <c r="D13" s="25" t="str">
        <f t="array" ref="D13">_xlfn.TEXTJOIN(", ",TRUE(),IF(('Регистър на риска'!$P$2:$P$210=4)*('Регистър на риска'!$Q$2:$Q$210=3),'Регистър на риска'!$A$2:$A$210,""))</f>
        <v/>
      </c>
      <c r="E13" s="26" t="str">
        <f t="array" ref="E13">_xlfn.TEXTJOIN(", ",TRUE(),IF(('Регистър на риска'!$P$2:$P$210=4)*('Регистър на риска'!$Q$2:$Q$210=4),'Регистър на риска'!$A$2:$A$210,""))</f>
        <v/>
      </c>
      <c r="F13" s="26" t="str">
        <f t="array" ref="F13">_xlfn.TEXTJOIN(", ",TRUE(),IF(('Регистър на риска'!$P$2:$P$210=4)*('Регистър на риска'!$Q$2:$Q$210=5),'Регистър на риска'!$A$2:$A$210,""))</f>
        <v/>
      </c>
    </row>
    <row r="14" spans="1:6" ht="26.4" x14ac:dyDescent="0.3">
      <c r="A14" s="23">
        <v>3</v>
      </c>
      <c r="B14" s="27" t="str">
        <f t="array" ref="B14">_xlfn.TEXTJOIN(", ",TRUE(),IF(('Регистър на риска'!$P$2:$P$210=3)*('Регистър на риска'!$Q$2:$Q$210=1),'Регистър на риска'!$A$2:$A$210,""))</f>
        <v/>
      </c>
      <c r="C14" s="24" t="str">
        <f t="array" ref="C14">_xlfn.TEXTJOIN(", ",TRUE(),IF(('Регистър на риска'!$P$2:$P$210=3)*('Регистър на риска'!$Q$2:$Q$210=2),'Регистър на риска'!$A$2:$A$210,""))</f>
        <v/>
      </c>
      <c r="D14" s="24" t="str">
        <f t="array" ref="D14">_xlfn.TEXTJOIN(", ",TRUE(),IF(('Регистър на риска'!$P$2:$P$210=3)*('Регистър на риска'!$Q$2:$Q$210=3),'Регистър на риска'!$A$2:$A$210,""))</f>
        <v>R-01, R-13</v>
      </c>
      <c r="E14" s="25" t="str">
        <f t="array" ref="E14">_xlfn.TEXTJOIN(", ",TRUE(),IF(('Регистър на риска'!$P$2:$P$210=3)*('Регистър на риска'!$Q$2:$Q$210=4),'Регистър на риска'!$A$2:$A$210,""))</f>
        <v/>
      </c>
      <c r="F14" s="25" t="str">
        <f t="array" ref="F14">_xlfn.TEXTJOIN(", ",TRUE(),IF(('Регистър на риска'!$P$2:$P$210=3)*('Регистър на риска'!$Q$2:$Q$210=5),'Регистър на риска'!$A$2:$A$210,""))</f>
        <v/>
      </c>
    </row>
    <row r="15" spans="1:6" ht="79.2" x14ac:dyDescent="0.3">
      <c r="A15" s="23">
        <v>2</v>
      </c>
      <c r="B15" s="27" t="str">
        <f t="array" ref="B15">_xlfn.TEXTJOIN(", ",TRUE(),IF(('Регистър на риска'!$P$2:$P$210=2)*('Регистър на риска'!$Q$2:$Q$210=1),'Регистър на риска'!$A$2:$A$210,""))</f>
        <v/>
      </c>
      <c r="C15" s="27" t="str">
        <f t="array" ref="C15">_xlfn.TEXTJOIN(", ",TRUE(),IF(('Регистър на риска'!$P$2:$P$210=2)*('Регистър на риска'!$Q$2:$Q$210=2),'Регистър на риска'!$A$2:$A$210,""))</f>
        <v/>
      </c>
      <c r="D15" s="24" t="str">
        <f t="array" ref="D15">_xlfn.TEXTJOIN(", ",TRUE(),IF(('Регистър на риска'!$P$2:$P$210=2)*('Регистър на риска'!$Q$2:$Q$210=3),'Регистър на риска'!$A$2:$A$210,""))</f>
        <v>R-08, R-09, R-14</v>
      </c>
      <c r="E15" s="24" t="str">
        <f t="array" ref="E15">_xlfn.TEXTJOIN(", ",TRUE(),IF(('Регистър на риска'!$P$2:$P$210=2)*('Регистър на риска'!$Q$2:$Q$210=4),'Регистър на риска'!$A$2:$A$210,""))</f>
        <v>R-02, R-03, R-04, R-05, R-06, R-07, R-10, R-11</v>
      </c>
      <c r="F15" s="25" t="str">
        <f t="array" ref="F15">_xlfn.TEXTJOIN(", ",TRUE(),IF(('Регистър на риска'!$P$2:$P$210=2)*('Регистър на риска'!$Q$2:$Q$210=5),'Регистър на риска'!$A$2:$A$210,""))</f>
        <v/>
      </c>
    </row>
    <row r="16" spans="1:6" x14ac:dyDescent="0.3">
      <c r="A16" s="23">
        <v>1</v>
      </c>
      <c r="B16" s="27" t="str">
        <f t="array" ref="B16">_xlfn.TEXTJOIN(", ",TRUE(),IF(('Регистър на риска'!$P$2:$P$210=1)*('Регистър на риска'!$Q$2:$Q$210=1),'Регистър на риска'!$A$2:$A$210,""))</f>
        <v/>
      </c>
      <c r="C16" s="27" t="str">
        <f t="array" ref="C16">_xlfn.TEXTJOIN(", ",TRUE(),IF(('Регистър на риска'!$P$2:$P$210=1)*('Регистър на риска'!$Q$2:$Q$210=2),'Регистър на риска'!$A$2:$A$210,""))</f>
        <v/>
      </c>
      <c r="D16" s="27" t="str">
        <f t="array" ref="D16">_xlfn.TEXTJOIN(", ",TRUE(),IF(('Регистър на риска'!$P$2:$P$210=1)*('Регистър на риска'!$Q$2:$Q$210=3),'Регистър на риска'!$A$2:$A$210,""))</f>
        <v>R-15</v>
      </c>
      <c r="E16" s="27" t="str">
        <f t="array" ref="E16">_xlfn.TEXTJOIN(", ",TRUE(),IF(('Регистър на риска'!$P$2:$P$210=1)*('Регистър на риска'!$Q$2:$Q$210=4),'Регистър на риска'!$A$2:$A$210,""))</f>
        <v>R-12</v>
      </c>
      <c r="F16" s="24" t="str">
        <f t="array" ref="F16">_xlfn.TEXTJOIN(", ",TRUE(),IF(('Регистър на риска'!$P$2:$P$210=1)*('Регистър на риска'!$Q$2:$Q$210=5),'Регистър на риска'!$A$2:$A$210,""))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  <vt:lpstr>ATT&amp;CK обосновка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Мая К. Колева</cp:lastModifiedBy>
  <dcterms:modified xsi:type="dcterms:W3CDTF">2026-10-25T12:11:12Z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>Peter</cp:lastModifiedBy>
  <dcterms:modified xsi:type="dcterms:W3CDTF">2026-10-25T11:47:45Z</dcterms:modified>
  <cp:revision>0</cp:revision>
  <dc:subject/>
  <dc:title/>
</cp:coreProperties>
</file>